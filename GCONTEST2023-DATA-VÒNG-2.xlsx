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ongdata-my.sharepoint.com/personal/longtran_longdata_onmicrosoft_com/Documents/Data_Teaching/Predictive Analytics/gen14/Class 6 - Basic Statistics/"/>
    </mc:Choice>
  </mc:AlternateContent>
  <xr:revisionPtr revIDLastSave="47" documentId="11_24A258FB89F429A42A497BC19AB008B547CBB3D4" xr6:coauthVersionLast="47" xr6:coauthVersionMax="47" xr10:uidLastSave="{ACCD7161-CBB3-4474-B2CC-77069F720803}"/>
  <bookViews>
    <workbookView xWindow="-120" yWindow="-120" windowWidth="38640" windowHeight="21120" xr2:uid="{00000000-000D-0000-FFFF-FFFF00000000}"/>
  </bookViews>
  <sheets>
    <sheet name="DATA" sheetId="6" r:id="rId1"/>
  </sheets>
  <externalReferences>
    <externalReference r:id="rId2"/>
  </externalReferences>
  <definedNames>
    <definedName name="__xlcn.WorksheetConnection_BẢNGTHSỐLIỆULÊNBÁOCÁO.xlsxDATA1" hidden="1">'[1]datagoc ver1'!#REF!</definedName>
    <definedName name="_xlnm._FilterDatabase" localSheetId="0" hidden="1">DATA!$A$1:$AJ$1219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6" l="1"/>
  <c r="O494" i="6"/>
  <c r="O495" i="6"/>
  <c r="O4" i="6"/>
  <c r="O496" i="6"/>
  <c r="O497" i="6"/>
  <c r="O5" i="6"/>
  <c r="O498" i="6"/>
  <c r="O6" i="6"/>
  <c r="O7" i="6"/>
  <c r="O8" i="6"/>
  <c r="O9" i="6"/>
  <c r="O499" i="6"/>
  <c r="O10" i="6"/>
  <c r="O500" i="6"/>
  <c r="O501" i="6"/>
  <c r="O502" i="6"/>
  <c r="O503" i="6"/>
  <c r="O16" i="6"/>
  <c r="O504" i="6"/>
  <c r="O505" i="6"/>
  <c r="O506" i="6"/>
  <c r="O507" i="6"/>
  <c r="O508" i="6"/>
  <c r="O17" i="6"/>
  <c r="O18" i="6"/>
  <c r="O19" i="6"/>
  <c r="O20" i="6"/>
  <c r="O21" i="6"/>
  <c r="O22" i="6"/>
  <c r="O23" i="6"/>
  <c r="O512" i="6"/>
  <c r="O513" i="6"/>
  <c r="O24" i="6"/>
  <c r="O25" i="6"/>
  <c r="O514" i="6"/>
  <c r="O515" i="6"/>
  <c r="O516" i="6"/>
  <c r="O26" i="6"/>
  <c r="O27" i="6"/>
  <c r="O517" i="6"/>
  <c r="O28" i="6"/>
  <c r="O29" i="6"/>
  <c r="O518" i="6"/>
  <c r="O519" i="6"/>
  <c r="O30" i="6"/>
  <c r="O31" i="6"/>
  <c r="O520" i="6"/>
  <c r="O521" i="6"/>
  <c r="O32" i="6"/>
  <c r="O522" i="6"/>
  <c r="O523" i="6"/>
  <c r="O33" i="6"/>
  <c r="O34" i="6"/>
  <c r="O35" i="6"/>
  <c r="O524" i="6"/>
  <c r="O525" i="6"/>
  <c r="O36" i="6"/>
  <c r="O526" i="6"/>
  <c r="O37" i="6"/>
  <c r="O38" i="6"/>
  <c r="O39" i="6"/>
  <c r="O40" i="6"/>
  <c r="O527" i="6"/>
  <c r="O528" i="6"/>
  <c r="O529" i="6"/>
  <c r="O41" i="6"/>
  <c r="O530" i="6"/>
  <c r="O531" i="6"/>
  <c r="O532" i="6"/>
  <c r="O42" i="6"/>
  <c r="O43" i="6"/>
  <c r="O533" i="6"/>
  <c r="O534" i="6"/>
  <c r="O44" i="6"/>
  <c r="O535" i="6"/>
  <c r="O45" i="6"/>
  <c r="O46" i="6"/>
  <c r="O47" i="6"/>
  <c r="O48" i="6"/>
  <c r="O536" i="6"/>
  <c r="O49" i="6"/>
  <c r="O537" i="6"/>
  <c r="O538" i="6"/>
  <c r="O539" i="6"/>
  <c r="O50" i="6"/>
  <c r="O540" i="6"/>
  <c r="O541" i="6"/>
  <c r="O51" i="6"/>
  <c r="O52" i="6"/>
  <c r="O542" i="6"/>
  <c r="O543" i="6"/>
  <c r="O544" i="6"/>
  <c r="O53" i="6"/>
  <c r="O54" i="6"/>
  <c r="O55" i="6"/>
  <c r="O56" i="6"/>
  <c r="O57" i="6"/>
  <c r="O545" i="6"/>
  <c r="O546" i="6"/>
  <c r="O58" i="6"/>
  <c r="O547" i="6"/>
  <c r="O59" i="6"/>
  <c r="O548" i="6"/>
  <c r="O549" i="6"/>
  <c r="O550" i="6"/>
  <c r="O60" i="6"/>
  <c r="O61" i="6"/>
  <c r="O62" i="6"/>
  <c r="O551" i="6"/>
  <c r="O552" i="6"/>
  <c r="O553" i="6"/>
  <c r="O63" i="6"/>
  <c r="O64" i="6"/>
  <c r="O65" i="6"/>
  <c r="O554" i="6"/>
  <c r="O66" i="6"/>
  <c r="O67" i="6"/>
  <c r="O555" i="6"/>
  <c r="O556" i="6"/>
  <c r="O68" i="6"/>
  <c r="O557" i="6"/>
  <c r="O558" i="6"/>
  <c r="O69" i="6"/>
  <c r="O70" i="6"/>
  <c r="O559" i="6"/>
  <c r="O560" i="6"/>
  <c r="O71" i="6"/>
  <c r="O561" i="6"/>
  <c r="O72" i="6"/>
  <c r="O73" i="6"/>
  <c r="O562" i="6"/>
  <c r="O74" i="6"/>
  <c r="O75" i="6"/>
  <c r="O76" i="6"/>
  <c r="O563" i="6"/>
  <c r="O564" i="6"/>
  <c r="O565" i="6"/>
  <c r="O77" i="6"/>
  <c r="O566" i="6"/>
  <c r="O567" i="6"/>
  <c r="O78" i="6"/>
  <c r="O568" i="6"/>
  <c r="O79" i="6"/>
  <c r="O80" i="6"/>
  <c r="O81" i="6"/>
  <c r="O569" i="6"/>
  <c r="O570" i="6"/>
  <c r="O571" i="6"/>
  <c r="O82" i="6"/>
  <c r="O83" i="6"/>
  <c r="O572" i="6"/>
  <c r="O84" i="6"/>
  <c r="O573" i="6"/>
  <c r="O574" i="6"/>
  <c r="O85" i="6"/>
  <c r="O575" i="6"/>
  <c r="O576" i="6"/>
  <c r="O577" i="6"/>
  <c r="O86" i="6"/>
  <c r="O578" i="6"/>
  <c r="O87" i="6"/>
  <c r="O88" i="6"/>
  <c r="O579" i="6"/>
  <c r="O89" i="6"/>
  <c r="O580" i="6"/>
  <c r="O90" i="6"/>
  <c r="O91" i="6"/>
  <c r="O92" i="6"/>
  <c r="O581" i="6"/>
  <c r="O582" i="6"/>
  <c r="O583" i="6"/>
  <c r="O584" i="6"/>
  <c r="O585" i="6"/>
  <c r="O586" i="6"/>
  <c r="O587" i="6"/>
  <c r="O93" i="6"/>
  <c r="O94" i="6"/>
  <c r="O95" i="6"/>
  <c r="O588" i="6"/>
  <c r="O589" i="6"/>
  <c r="O96" i="6"/>
  <c r="O590" i="6"/>
  <c r="O591" i="6"/>
  <c r="O592" i="6"/>
  <c r="O593" i="6"/>
  <c r="O594" i="6"/>
  <c r="O595" i="6"/>
  <c r="O596" i="6"/>
  <c r="O97" i="6"/>
  <c r="O597" i="6"/>
  <c r="O598" i="6"/>
  <c r="O98" i="6"/>
  <c r="O599" i="6"/>
  <c r="O600" i="6"/>
  <c r="O601" i="6"/>
  <c r="O602" i="6"/>
  <c r="O603" i="6"/>
  <c r="O604" i="6"/>
  <c r="O605" i="6"/>
  <c r="O606" i="6"/>
  <c r="O607" i="6"/>
  <c r="O608" i="6"/>
  <c r="O609" i="6"/>
  <c r="O610" i="6"/>
  <c r="O611" i="6"/>
  <c r="O612" i="6"/>
  <c r="O613" i="6"/>
  <c r="O614" i="6"/>
  <c r="O615" i="6"/>
  <c r="O616" i="6"/>
  <c r="O617" i="6"/>
  <c r="O618" i="6"/>
  <c r="O619" i="6"/>
  <c r="O620" i="6"/>
  <c r="O621" i="6"/>
  <c r="O622" i="6"/>
  <c r="O623" i="6"/>
  <c r="O624" i="6"/>
  <c r="O625" i="6"/>
  <c r="O626" i="6"/>
  <c r="O627" i="6"/>
  <c r="O628" i="6"/>
  <c r="O629" i="6"/>
  <c r="O630" i="6"/>
  <c r="O631" i="6"/>
  <c r="O632" i="6"/>
  <c r="O633" i="6"/>
  <c r="O99" i="6"/>
  <c r="O100" i="6"/>
  <c r="O634" i="6"/>
  <c r="O101" i="6"/>
  <c r="O635" i="6"/>
  <c r="O636" i="6"/>
  <c r="O637" i="6"/>
  <c r="O638" i="6"/>
  <c r="O639" i="6"/>
  <c r="O102" i="6"/>
  <c r="O640" i="6"/>
  <c r="O103" i="6"/>
  <c r="O104" i="6"/>
  <c r="O641" i="6"/>
  <c r="O642" i="6"/>
  <c r="O643" i="6"/>
  <c r="O644" i="6"/>
  <c r="O645" i="6"/>
  <c r="O105" i="6"/>
  <c r="O646" i="6"/>
  <c r="O106" i="6"/>
  <c r="O107" i="6"/>
  <c r="O647" i="6"/>
  <c r="O648" i="6"/>
  <c r="O649" i="6"/>
  <c r="O650" i="6"/>
  <c r="O651" i="6"/>
  <c r="O652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653" i="6"/>
  <c r="O654" i="6"/>
  <c r="O655" i="6"/>
  <c r="O656" i="6"/>
  <c r="O657" i="6"/>
  <c r="O658" i="6"/>
  <c r="O659" i="6"/>
  <c r="O660" i="6"/>
  <c r="O661" i="6"/>
  <c r="O662" i="6"/>
  <c r="O663" i="6"/>
  <c r="O664" i="6"/>
  <c r="O665" i="6"/>
  <c r="O666" i="6"/>
  <c r="O120" i="6"/>
  <c r="O121" i="6"/>
  <c r="O667" i="6"/>
  <c r="O668" i="6"/>
  <c r="O122" i="6"/>
  <c r="O123" i="6"/>
  <c r="O669" i="6"/>
  <c r="O670" i="6"/>
  <c r="O124" i="6"/>
  <c r="O125" i="6"/>
  <c r="O671" i="6"/>
  <c r="O126" i="6"/>
  <c r="O127" i="6"/>
  <c r="O672" i="6"/>
  <c r="O673" i="6"/>
  <c r="O128" i="6"/>
  <c r="O129" i="6"/>
  <c r="O130" i="6"/>
  <c r="O674" i="6"/>
  <c r="O675" i="6"/>
  <c r="O676" i="6"/>
  <c r="O131" i="6"/>
  <c r="O132" i="6"/>
  <c r="O133" i="6"/>
  <c r="O677" i="6"/>
  <c r="O134" i="6"/>
  <c r="O678" i="6"/>
  <c r="O679" i="6"/>
  <c r="O680" i="6"/>
  <c r="O681" i="6"/>
  <c r="O682" i="6"/>
  <c r="O135" i="6"/>
  <c r="O136" i="6"/>
  <c r="O137" i="6"/>
  <c r="O683" i="6"/>
  <c r="O684" i="6"/>
  <c r="O685" i="6"/>
  <c r="O138" i="6"/>
  <c r="O139" i="6"/>
  <c r="O140" i="6"/>
  <c r="O686" i="6"/>
  <c r="O687" i="6"/>
  <c r="O688" i="6"/>
  <c r="O141" i="6"/>
  <c r="O142" i="6"/>
  <c r="O143" i="6"/>
  <c r="O689" i="6"/>
  <c r="O690" i="6"/>
  <c r="O691" i="6"/>
  <c r="O144" i="6"/>
  <c r="O145" i="6"/>
  <c r="O146" i="6"/>
  <c r="O147" i="6"/>
  <c r="O692" i="6"/>
  <c r="O693" i="6"/>
  <c r="O694" i="6"/>
  <c r="O148" i="6"/>
  <c r="O149" i="6"/>
  <c r="O150" i="6"/>
  <c r="O695" i="6"/>
  <c r="O696" i="6"/>
  <c r="O151" i="6"/>
  <c r="O152" i="6"/>
  <c r="O153" i="6"/>
  <c r="O154" i="6"/>
  <c r="O697" i="6"/>
  <c r="O155" i="6"/>
  <c r="O698" i="6"/>
  <c r="O699" i="6"/>
  <c r="O700" i="6"/>
  <c r="O701" i="6"/>
  <c r="O702" i="6"/>
  <c r="O703" i="6"/>
  <c r="O704" i="6"/>
  <c r="O705" i="6"/>
  <c r="O706" i="6"/>
  <c r="O707" i="6"/>
  <c r="O708" i="6"/>
  <c r="O709" i="6"/>
  <c r="O710" i="6"/>
  <c r="O711" i="6"/>
  <c r="O712" i="6"/>
  <c r="O713" i="6"/>
  <c r="O714" i="6"/>
  <c r="O715" i="6"/>
  <c r="O716" i="6"/>
  <c r="O717" i="6"/>
  <c r="O718" i="6"/>
  <c r="O719" i="6"/>
  <c r="O720" i="6"/>
  <c r="O721" i="6"/>
  <c r="O722" i="6"/>
  <c r="O723" i="6"/>
  <c r="O724" i="6"/>
  <c r="O725" i="6"/>
  <c r="O726" i="6"/>
  <c r="O727" i="6"/>
  <c r="O728" i="6"/>
  <c r="O729" i="6"/>
  <c r="O730" i="6"/>
  <c r="O731" i="6"/>
  <c r="O732" i="6"/>
  <c r="O733" i="6"/>
  <c r="O734" i="6"/>
  <c r="O735" i="6"/>
  <c r="O736" i="6"/>
  <c r="O737" i="6"/>
  <c r="O738" i="6"/>
  <c r="O739" i="6"/>
  <c r="O156" i="6"/>
  <c r="O157" i="6"/>
  <c r="O158" i="6"/>
  <c r="O740" i="6"/>
  <c r="O741" i="6"/>
  <c r="O742" i="6"/>
  <c r="O159" i="6"/>
  <c r="O160" i="6"/>
  <c r="O161" i="6"/>
  <c r="O743" i="6"/>
  <c r="O744" i="6"/>
  <c r="O745" i="6"/>
  <c r="O162" i="6"/>
  <c r="O163" i="6"/>
  <c r="O164" i="6"/>
  <c r="O165" i="6"/>
  <c r="O746" i="6"/>
  <c r="O166" i="6"/>
  <c r="O747" i="6"/>
  <c r="O748" i="6"/>
  <c r="O167" i="6"/>
  <c r="O749" i="6"/>
  <c r="O168" i="6"/>
  <c r="O750" i="6"/>
  <c r="O169" i="6"/>
  <c r="O751" i="6"/>
  <c r="O170" i="6"/>
  <c r="O171" i="6"/>
  <c r="O172" i="6"/>
  <c r="O752" i="6"/>
  <c r="O173" i="6"/>
  <c r="O753" i="6"/>
  <c r="O754" i="6"/>
  <c r="O755" i="6"/>
  <c r="O756" i="6"/>
  <c r="O757" i="6"/>
  <c r="O174" i="6"/>
  <c r="O175" i="6"/>
  <c r="O176" i="6"/>
  <c r="O177" i="6"/>
  <c r="O178" i="6"/>
  <c r="O179" i="6"/>
  <c r="O180" i="6"/>
  <c r="O758" i="6"/>
  <c r="O759" i="6"/>
  <c r="O760" i="6"/>
  <c r="O181" i="6"/>
  <c r="O182" i="6"/>
  <c r="O183" i="6"/>
  <c r="O761" i="6"/>
  <c r="O762" i="6"/>
  <c r="O763" i="6"/>
  <c r="O184" i="6"/>
  <c r="O185" i="6"/>
  <c r="O186" i="6"/>
  <c r="O187" i="6"/>
  <c r="O188" i="6"/>
  <c r="O764" i="6"/>
  <c r="O765" i="6"/>
  <c r="O766" i="6"/>
  <c r="O189" i="6"/>
  <c r="O190" i="6"/>
  <c r="O767" i="6"/>
  <c r="O191" i="6"/>
  <c r="O192" i="6"/>
  <c r="O768" i="6"/>
  <c r="O193" i="6"/>
  <c r="O769" i="6"/>
  <c r="O194" i="6"/>
  <c r="O770" i="6"/>
  <c r="O195" i="6"/>
  <c r="O771" i="6"/>
  <c r="O196" i="6"/>
  <c r="O197" i="6"/>
  <c r="O772" i="6"/>
  <c r="O773" i="6"/>
  <c r="O774" i="6"/>
  <c r="O775" i="6"/>
  <c r="O776" i="6"/>
  <c r="O198" i="6"/>
  <c r="O777" i="6"/>
  <c r="O199" i="6"/>
  <c r="O778" i="6"/>
  <c r="O200" i="6"/>
  <c r="O779" i="6"/>
  <c r="O780" i="6"/>
  <c r="O781" i="6"/>
  <c r="O782" i="6"/>
  <c r="O201" i="6"/>
  <c r="O202" i="6"/>
  <c r="O783" i="6"/>
  <c r="O784" i="6"/>
  <c r="O785" i="6"/>
  <c r="O786" i="6"/>
  <c r="O203" i="6"/>
  <c r="O787" i="6"/>
  <c r="O788" i="6"/>
  <c r="O204" i="6"/>
  <c r="O205" i="6"/>
  <c r="O789" i="6"/>
  <c r="O790" i="6"/>
  <c r="O206" i="6"/>
  <c r="O791" i="6"/>
  <c r="O792" i="6"/>
  <c r="O793" i="6"/>
  <c r="O207" i="6"/>
  <c r="O208" i="6"/>
  <c r="O209" i="6"/>
  <c r="O794" i="6"/>
  <c r="O795" i="6"/>
  <c r="O796" i="6"/>
  <c r="O210" i="6"/>
  <c r="O211" i="6"/>
  <c r="O212" i="6"/>
  <c r="O797" i="6"/>
  <c r="O798" i="6"/>
  <c r="O799" i="6"/>
  <c r="O213" i="6"/>
  <c r="O214" i="6"/>
  <c r="O215" i="6"/>
  <c r="O800" i="6"/>
  <c r="O801" i="6"/>
  <c r="O216" i="6"/>
  <c r="O217" i="6"/>
  <c r="O802" i="6"/>
  <c r="O218" i="6"/>
  <c r="O803" i="6"/>
  <c r="O804" i="6"/>
  <c r="O219" i="6"/>
  <c r="O805" i="6"/>
  <c r="O220" i="6"/>
  <c r="O221" i="6"/>
  <c r="O222" i="6"/>
  <c r="O806" i="6"/>
  <c r="O807" i="6"/>
  <c r="O223" i="6"/>
  <c r="O224" i="6"/>
  <c r="O808" i="6"/>
  <c r="O809" i="6"/>
  <c r="O810" i="6"/>
  <c r="O811" i="6"/>
  <c r="O812" i="6"/>
  <c r="O813" i="6"/>
  <c r="O814" i="6"/>
  <c r="O815" i="6"/>
  <c r="O816" i="6"/>
  <c r="O817" i="6"/>
  <c r="O818" i="6"/>
  <c r="O819" i="6"/>
  <c r="O820" i="6"/>
  <c r="O821" i="6"/>
  <c r="O822" i="6"/>
  <c r="O823" i="6"/>
  <c r="O824" i="6"/>
  <c r="O825" i="6"/>
  <c r="O826" i="6"/>
  <c r="O827" i="6"/>
  <c r="O828" i="6"/>
  <c r="O829" i="6"/>
  <c r="O830" i="6"/>
  <c r="O831" i="6"/>
  <c r="O225" i="6"/>
  <c r="O832" i="6"/>
  <c r="O833" i="6"/>
  <c r="O226" i="6"/>
  <c r="O834" i="6"/>
  <c r="O835" i="6"/>
  <c r="O227" i="6"/>
  <c r="O228" i="6"/>
  <c r="O836" i="6"/>
  <c r="O837" i="6"/>
  <c r="O229" i="6"/>
  <c r="O838" i="6"/>
  <c r="O230" i="6"/>
  <c r="O231" i="6"/>
  <c r="O839" i="6"/>
  <c r="O232" i="6"/>
  <c r="O840" i="6"/>
  <c r="O233" i="6"/>
  <c r="O841" i="6"/>
  <c r="O234" i="6"/>
  <c r="O235" i="6"/>
  <c r="O236" i="6"/>
  <c r="O237" i="6"/>
  <c r="O842" i="6"/>
  <c r="O843" i="6"/>
  <c r="O844" i="6"/>
  <c r="O238" i="6"/>
  <c r="O845" i="6"/>
  <c r="O239" i="6"/>
  <c r="O846" i="6"/>
  <c r="O847" i="6"/>
  <c r="O848" i="6"/>
  <c r="O849" i="6"/>
  <c r="O850" i="6"/>
  <c r="O851" i="6"/>
  <c r="O852" i="6"/>
  <c r="O853" i="6"/>
  <c r="O854" i="6"/>
  <c r="O855" i="6"/>
  <c r="O856" i="6"/>
  <c r="O857" i="6"/>
  <c r="O858" i="6"/>
  <c r="O859" i="6"/>
  <c r="O860" i="6"/>
  <c r="O861" i="6"/>
  <c r="O862" i="6"/>
  <c r="O863" i="6"/>
  <c r="O864" i="6"/>
  <c r="O865" i="6"/>
  <c r="O866" i="6"/>
  <c r="O867" i="6"/>
  <c r="O868" i="6"/>
  <c r="O869" i="6"/>
  <c r="O240" i="6"/>
  <c r="O241" i="6"/>
  <c r="O870" i="6"/>
  <c r="O871" i="6"/>
  <c r="O242" i="6"/>
  <c r="O243" i="6"/>
  <c r="O244" i="6"/>
  <c r="O245" i="6"/>
  <c r="O246" i="6"/>
  <c r="O247" i="6"/>
  <c r="O248" i="6"/>
  <c r="O872" i="6"/>
  <c r="O873" i="6"/>
  <c r="O249" i="6"/>
  <c r="O250" i="6"/>
  <c r="O874" i="6"/>
  <c r="O875" i="6"/>
  <c r="O876" i="6"/>
  <c r="O251" i="6"/>
  <c r="O877" i="6"/>
  <c r="O878" i="6"/>
  <c r="O252" i="6"/>
  <c r="O253" i="6"/>
  <c r="O254" i="6"/>
  <c r="O879" i="6"/>
  <c r="O880" i="6"/>
  <c r="O881" i="6"/>
  <c r="O882" i="6"/>
  <c r="O883" i="6"/>
  <c r="O884" i="6"/>
  <c r="O885" i="6"/>
  <c r="O886" i="6"/>
  <c r="O887" i="6"/>
  <c r="O888" i="6"/>
  <c r="O889" i="6"/>
  <c r="O255" i="6"/>
  <c r="O256" i="6"/>
  <c r="O257" i="6"/>
  <c r="O258" i="6"/>
  <c r="O259" i="6"/>
  <c r="O260" i="6"/>
  <c r="O261" i="6"/>
  <c r="O262" i="6"/>
  <c r="O263" i="6"/>
  <c r="O890" i="6"/>
  <c r="O891" i="6"/>
  <c r="O892" i="6"/>
  <c r="O893" i="6"/>
  <c r="O894" i="6"/>
  <c r="O895" i="6"/>
  <c r="O896" i="6"/>
  <c r="O897" i="6"/>
  <c r="O898" i="6"/>
  <c r="O899" i="6"/>
  <c r="O900" i="6"/>
  <c r="O901" i="6"/>
  <c r="O902" i="6"/>
  <c r="O903" i="6"/>
  <c r="O904" i="6"/>
  <c r="O905" i="6"/>
  <c r="O906" i="6"/>
  <c r="O907" i="6"/>
  <c r="O908" i="6"/>
  <c r="O909" i="6"/>
  <c r="O264" i="6"/>
  <c r="O265" i="6"/>
  <c r="O910" i="6"/>
  <c r="O911" i="6"/>
  <c r="O266" i="6"/>
  <c r="O267" i="6"/>
  <c r="O912" i="6"/>
  <c r="O913" i="6"/>
  <c r="O268" i="6"/>
  <c r="O269" i="6"/>
  <c r="O914" i="6"/>
  <c r="O270" i="6"/>
  <c r="O271" i="6"/>
  <c r="O915" i="6"/>
  <c r="O272" i="6"/>
  <c r="O916" i="6"/>
  <c r="O917" i="6"/>
  <c r="O273" i="6"/>
  <c r="O274" i="6"/>
  <c r="O918" i="6"/>
  <c r="O919" i="6"/>
  <c r="O275" i="6"/>
  <c r="O276" i="6"/>
  <c r="O277" i="6"/>
  <c r="O920" i="6"/>
  <c r="O921" i="6"/>
  <c r="O278" i="6"/>
  <c r="O922" i="6"/>
  <c r="O923" i="6"/>
  <c r="O924" i="6"/>
  <c r="O279" i="6"/>
  <c r="O280" i="6"/>
  <c r="O925" i="6"/>
  <c r="O926" i="6"/>
  <c r="O281" i="6"/>
  <c r="O282" i="6"/>
  <c r="O927" i="6"/>
  <c r="O928" i="6"/>
  <c r="O283" i="6"/>
  <c r="O284" i="6"/>
  <c r="O285" i="6"/>
  <c r="O929" i="6"/>
  <c r="O286" i="6"/>
  <c r="O930" i="6"/>
  <c r="O931" i="6"/>
  <c r="O287" i="6"/>
  <c r="O932" i="6"/>
  <c r="O288" i="6"/>
  <c r="O933" i="6"/>
  <c r="O934" i="6"/>
  <c r="O289" i="6"/>
  <c r="O290" i="6"/>
  <c r="O935" i="6"/>
  <c r="O291" i="6"/>
  <c r="O292" i="6"/>
  <c r="O936" i="6"/>
  <c r="O293" i="6"/>
  <c r="O937" i="6"/>
  <c r="O938" i="6"/>
  <c r="O939" i="6"/>
  <c r="O294" i="6"/>
  <c r="O295" i="6"/>
  <c r="O940" i="6"/>
  <c r="O941" i="6"/>
  <c r="O296" i="6"/>
  <c r="O297" i="6"/>
  <c r="O942" i="6"/>
  <c r="O943" i="6"/>
  <c r="O298" i="6"/>
  <c r="O299" i="6"/>
  <c r="O300" i="6"/>
  <c r="O301" i="6"/>
  <c r="O944" i="6"/>
  <c r="O945" i="6"/>
  <c r="O946" i="6"/>
  <c r="O302" i="6"/>
  <c r="O303" i="6"/>
  <c r="O304" i="6"/>
  <c r="O305" i="6"/>
  <c r="O947" i="6"/>
  <c r="O948" i="6"/>
  <c r="O949" i="6"/>
  <c r="O950" i="6"/>
  <c r="O951" i="6"/>
  <c r="O306" i="6"/>
  <c r="O307" i="6"/>
  <c r="O308" i="6"/>
  <c r="O952" i="6"/>
  <c r="O953" i="6"/>
  <c r="O954" i="6"/>
  <c r="O955" i="6"/>
  <c r="O956" i="6"/>
  <c r="O957" i="6"/>
  <c r="O309" i="6"/>
  <c r="O310" i="6"/>
  <c r="O958" i="6"/>
  <c r="O959" i="6"/>
  <c r="O960" i="6"/>
  <c r="O961" i="6"/>
  <c r="O962" i="6"/>
  <c r="O311" i="6"/>
  <c r="O312" i="6"/>
  <c r="O963" i="6"/>
  <c r="O964" i="6"/>
  <c r="O965" i="6"/>
  <c r="O966" i="6"/>
  <c r="O967" i="6"/>
  <c r="O313" i="6"/>
  <c r="O314" i="6"/>
  <c r="O315" i="6"/>
  <c r="O316" i="6"/>
  <c r="O317" i="6"/>
  <c r="O318" i="6"/>
  <c r="O319" i="6"/>
  <c r="O320" i="6"/>
  <c r="O321" i="6"/>
  <c r="O322" i="6"/>
  <c r="O323" i="6"/>
  <c r="O968" i="6"/>
  <c r="O969" i="6"/>
  <c r="O324" i="6"/>
  <c r="O325" i="6"/>
  <c r="O326" i="6"/>
  <c r="O970" i="6"/>
  <c r="O971" i="6"/>
  <c r="O327" i="6"/>
  <c r="O328" i="6"/>
  <c r="O972" i="6"/>
  <c r="O973" i="6"/>
  <c r="O329" i="6"/>
  <c r="O330" i="6"/>
  <c r="O331" i="6"/>
  <c r="O974" i="6"/>
  <c r="O332" i="6"/>
  <c r="O333" i="6"/>
  <c r="O975" i="6"/>
  <c r="O976" i="6"/>
  <c r="O334" i="6"/>
  <c r="O977" i="6"/>
  <c r="O335" i="6"/>
  <c r="O336" i="6"/>
  <c r="O978" i="6"/>
  <c r="O979" i="6"/>
  <c r="O337" i="6"/>
  <c r="O338" i="6"/>
  <c r="O339" i="6"/>
  <c r="O980" i="6"/>
  <c r="O981" i="6"/>
  <c r="O982" i="6"/>
  <c r="O983" i="6"/>
  <c r="O984" i="6"/>
  <c r="O340" i="6"/>
  <c r="O341" i="6"/>
  <c r="O342" i="6"/>
  <c r="O985" i="6"/>
  <c r="O986" i="6"/>
  <c r="O343" i="6"/>
  <c r="O344" i="6"/>
  <c r="O987" i="6"/>
  <c r="O988" i="6"/>
  <c r="O345" i="6"/>
  <c r="O346" i="6"/>
  <c r="O347" i="6"/>
  <c r="O989" i="6"/>
  <c r="O348" i="6"/>
  <c r="O349" i="6"/>
  <c r="O990" i="6"/>
  <c r="O991" i="6"/>
  <c r="O350" i="6"/>
  <c r="O992" i="6"/>
  <c r="O993" i="6"/>
  <c r="O994" i="6"/>
  <c r="O351" i="6"/>
  <c r="O352" i="6"/>
  <c r="O353" i="6"/>
  <c r="O354" i="6"/>
  <c r="O995" i="6"/>
  <c r="O996" i="6"/>
  <c r="O355" i="6"/>
  <c r="O997" i="6"/>
  <c r="O998" i="6"/>
  <c r="O356" i="6"/>
  <c r="O357" i="6"/>
  <c r="O999" i="6"/>
  <c r="O1000" i="6"/>
  <c r="O358" i="6"/>
  <c r="O359" i="6"/>
  <c r="O360" i="6"/>
  <c r="O1001" i="6"/>
  <c r="O1002" i="6"/>
  <c r="O1003" i="6"/>
  <c r="O361" i="6"/>
  <c r="O1004" i="6"/>
  <c r="O1005" i="6"/>
  <c r="O362" i="6"/>
  <c r="O1006" i="6"/>
  <c r="O1007" i="6"/>
  <c r="O363" i="6"/>
  <c r="O364" i="6"/>
  <c r="O1008" i="6"/>
  <c r="O365" i="6"/>
  <c r="O1009" i="6"/>
  <c r="O366" i="6"/>
  <c r="O367" i="6"/>
  <c r="O368" i="6"/>
  <c r="O369" i="6"/>
  <c r="O1010" i="6"/>
  <c r="O370" i="6"/>
  <c r="O1011" i="6"/>
  <c r="O1012" i="6"/>
  <c r="O1013" i="6"/>
  <c r="O371" i="6"/>
  <c r="O372" i="6"/>
  <c r="O1014" i="6"/>
  <c r="O373" i="6"/>
  <c r="O1015" i="6"/>
  <c r="O1016" i="6"/>
  <c r="O1017" i="6"/>
  <c r="O374" i="6"/>
  <c r="O375" i="6"/>
  <c r="O1018" i="6"/>
  <c r="O1019" i="6"/>
  <c r="O376" i="6"/>
  <c r="O377" i="6"/>
  <c r="O378" i="6"/>
  <c r="O1020" i="6"/>
  <c r="O1021" i="6"/>
  <c r="O1022" i="6"/>
  <c r="O379" i="6"/>
  <c r="O380" i="6"/>
  <c r="O381" i="6"/>
  <c r="O1023" i="6"/>
  <c r="O382" i="6"/>
  <c r="O1024" i="6"/>
  <c r="O1025" i="6"/>
  <c r="O1026" i="6"/>
  <c r="O1027" i="6"/>
  <c r="O1028" i="6"/>
  <c r="O383" i="6"/>
  <c r="O1029" i="6"/>
  <c r="O1030" i="6"/>
  <c r="O1031" i="6"/>
  <c r="O384" i="6"/>
  <c r="O1032" i="6"/>
  <c r="O385" i="6"/>
  <c r="O1033" i="6"/>
  <c r="O1034" i="6"/>
  <c r="O1035" i="6"/>
  <c r="O386" i="6"/>
  <c r="O387" i="6"/>
  <c r="O388" i="6"/>
  <c r="O1036" i="6"/>
  <c r="O389" i="6"/>
  <c r="O1037" i="6"/>
  <c r="O390" i="6"/>
  <c r="O1038" i="6"/>
  <c r="O1039" i="6"/>
  <c r="O391" i="6"/>
  <c r="O1040" i="6"/>
  <c r="O1041" i="6"/>
  <c r="O392" i="6"/>
  <c r="O393" i="6"/>
  <c r="O394" i="6"/>
  <c r="O1042" i="6"/>
  <c r="O1043" i="6"/>
  <c r="O395" i="6"/>
  <c r="O396" i="6"/>
  <c r="O1044" i="6"/>
  <c r="O1045" i="6"/>
  <c r="O397" i="6"/>
  <c r="O398" i="6"/>
  <c r="O1046" i="6"/>
  <c r="O399" i="6"/>
  <c r="O1047" i="6"/>
  <c r="O400" i="6"/>
  <c r="O401" i="6"/>
  <c r="O1048" i="6"/>
  <c r="O402" i="6"/>
  <c r="O403" i="6"/>
  <c r="O404" i="6"/>
  <c r="O1049" i="6"/>
  <c r="O1050" i="6"/>
  <c r="O1051" i="6"/>
  <c r="O405" i="6"/>
  <c r="O406" i="6"/>
  <c r="O1052" i="6"/>
  <c r="O407" i="6"/>
  <c r="O1053" i="6"/>
  <c r="O1054" i="6"/>
  <c r="O1055" i="6"/>
  <c r="O1056" i="6"/>
  <c r="O408" i="6"/>
  <c r="O409" i="6"/>
  <c r="O1057" i="6"/>
  <c r="O1058" i="6"/>
  <c r="O410" i="6"/>
  <c r="O411" i="6"/>
  <c r="O1059" i="6"/>
  <c r="O1060" i="6"/>
  <c r="O412" i="6"/>
  <c r="O413" i="6"/>
  <c r="O414" i="6"/>
  <c r="O415" i="6"/>
  <c r="O1061" i="6"/>
  <c r="O1062" i="6"/>
  <c r="O1063" i="6"/>
  <c r="O416" i="6"/>
  <c r="O417" i="6"/>
  <c r="O1064" i="6"/>
  <c r="O1065" i="6"/>
  <c r="O418" i="6"/>
  <c r="O1066" i="6"/>
  <c r="O419" i="6"/>
  <c r="O420" i="6"/>
  <c r="O421" i="6"/>
  <c r="O422" i="6"/>
  <c r="O1067" i="6"/>
  <c r="O1068" i="6"/>
  <c r="O1069" i="6"/>
  <c r="O1070" i="6"/>
  <c r="O1071" i="6"/>
  <c r="O1072" i="6"/>
  <c r="O423" i="6"/>
  <c r="O424" i="6"/>
  <c r="O1073" i="6"/>
  <c r="O1074" i="6"/>
  <c r="O425" i="6"/>
  <c r="O426" i="6"/>
  <c r="O1075" i="6"/>
  <c r="O1076" i="6"/>
  <c r="O427" i="6"/>
  <c r="O428" i="6"/>
  <c r="O1077" i="6"/>
  <c r="O1078" i="6"/>
  <c r="O429" i="6"/>
  <c r="O430" i="6"/>
  <c r="O431" i="6"/>
  <c r="O1079" i="6"/>
  <c r="O432" i="6"/>
  <c r="O433" i="6"/>
  <c r="O1080" i="6"/>
  <c r="O1081" i="6"/>
  <c r="O434" i="6"/>
  <c r="O435" i="6"/>
  <c r="O436" i="6"/>
  <c r="O437" i="6"/>
  <c r="O1082" i="6"/>
  <c r="O1083" i="6"/>
  <c r="O1084" i="6"/>
  <c r="O1085" i="6"/>
  <c r="O1086" i="6"/>
  <c r="O1087" i="6"/>
  <c r="O1088" i="6"/>
  <c r="O438" i="6"/>
  <c r="O439" i="6"/>
  <c r="O440" i="6"/>
  <c r="O441" i="6"/>
  <c r="O442" i="6"/>
  <c r="O1089" i="6"/>
  <c r="O1090" i="6"/>
  <c r="O1091" i="6"/>
  <c r="O1092" i="6"/>
  <c r="O443" i="6"/>
  <c r="O444" i="6"/>
  <c r="O445" i="6"/>
  <c r="O446" i="6"/>
  <c r="O1093" i="6"/>
  <c r="O1094" i="6"/>
  <c r="O1095" i="6"/>
  <c r="O1096" i="6"/>
  <c r="O1097" i="6"/>
  <c r="O447" i="6"/>
  <c r="O448" i="6"/>
  <c r="O449" i="6"/>
  <c r="O450" i="6"/>
  <c r="O1098" i="6"/>
  <c r="O451" i="6"/>
  <c r="O1099" i="6"/>
  <c r="O452" i="6"/>
  <c r="O453" i="6"/>
  <c r="O1100" i="6"/>
  <c r="O1101" i="6"/>
  <c r="O454" i="6"/>
  <c r="O455" i="6"/>
  <c r="O1102" i="6"/>
  <c r="O1103" i="6"/>
  <c r="O456" i="6"/>
  <c r="O457" i="6"/>
  <c r="O1104" i="6"/>
  <c r="O1105" i="6"/>
  <c r="O458" i="6"/>
  <c r="O459" i="6"/>
  <c r="O1106" i="6"/>
  <c r="O460" i="6"/>
  <c r="O461" i="6"/>
  <c r="O1107" i="6"/>
  <c r="O1108" i="6"/>
  <c r="O462" i="6"/>
  <c r="O463" i="6"/>
  <c r="O1109" i="6"/>
  <c r="O464" i="6"/>
  <c r="O465" i="6"/>
  <c r="O1110" i="6"/>
  <c r="O466" i="6"/>
  <c r="O467" i="6"/>
  <c r="O1111" i="6"/>
  <c r="O468" i="6"/>
  <c r="O1112" i="6"/>
  <c r="O1113" i="6"/>
  <c r="O1114" i="6"/>
  <c r="O1115" i="6"/>
  <c r="O1116" i="6"/>
  <c r="O469" i="6"/>
  <c r="O470" i="6"/>
  <c r="O471" i="6"/>
  <c r="O1117" i="6"/>
  <c r="O1118" i="6"/>
  <c r="O472" i="6"/>
  <c r="O473" i="6"/>
  <c r="O1119" i="6"/>
  <c r="O1120" i="6"/>
  <c r="O474" i="6"/>
  <c r="O475" i="6"/>
  <c r="O476" i="6"/>
  <c r="O477" i="6"/>
  <c r="O1121" i="6"/>
  <c r="O478" i="6"/>
  <c r="O1122" i="6"/>
  <c r="O1123" i="6"/>
  <c r="O1124" i="6"/>
  <c r="O479" i="6"/>
  <c r="O480" i="6"/>
  <c r="O1125" i="6"/>
  <c r="O481" i="6"/>
  <c r="O482" i="6"/>
  <c r="O483" i="6"/>
  <c r="O1126" i="6"/>
  <c r="O484" i="6"/>
  <c r="O1127" i="6"/>
  <c r="O1128" i="6"/>
  <c r="O1129" i="6"/>
  <c r="O1130" i="6"/>
  <c r="O1131" i="6"/>
  <c r="O1132" i="6"/>
  <c r="O1133" i="6"/>
  <c r="O1134" i="6"/>
  <c r="O1135" i="6"/>
  <c r="O1136" i="6"/>
  <c r="O1137" i="6"/>
  <c r="O1138" i="6"/>
  <c r="O1139" i="6"/>
  <c r="O1140" i="6"/>
  <c r="O1141" i="6"/>
  <c r="O1142" i="6"/>
  <c r="O1143" i="6"/>
  <c r="O1144" i="6"/>
  <c r="O1145" i="6"/>
  <c r="O1146" i="6"/>
  <c r="O1147" i="6"/>
  <c r="O1148" i="6"/>
  <c r="O1149" i="6"/>
  <c r="O1150" i="6"/>
  <c r="O1151" i="6"/>
  <c r="O1152" i="6"/>
  <c r="O1153" i="6"/>
  <c r="O1154" i="6"/>
  <c r="O1155" i="6"/>
  <c r="O1156" i="6"/>
  <c r="O1157" i="6"/>
  <c r="O1158" i="6"/>
  <c r="O1159" i="6"/>
  <c r="O1160" i="6"/>
  <c r="O1161" i="6"/>
  <c r="O1162" i="6"/>
  <c r="O1163" i="6"/>
  <c r="O1164" i="6"/>
  <c r="O1165" i="6"/>
  <c r="O1166" i="6"/>
  <c r="O1167" i="6"/>
  <c r="O1168" i="6"/>
  <c r="O1169" i="6"/>
  <c r="O1170" i="6"/>
  <c r="O1171" i="6"/>
  <c r="O1172" i="6"/>
  <c r="O1173" i="6"/>
  <c r="O1174" i="6"/>
  <c r="O1175" i="6"/>
  <c r="O1176" i="6"/>
  <c r="O1177" i="6"/>
  <c r="O1178" i="6"/>
  <c r="O1179" i="6"/>
  <c r="O1180" i="6"/>
  <c r="O1181" i="6"/>
  <c r="O1182" i="6"/>
  <c r="O1183" i="6"/>
  <c r="O1184" i="6"/>
  <c r="O1185" i="6"/>
  <c r="O1186" i="6"/>
  <c r="O1187" i="6"/>
  <c r="O1188" i="6"/>
  <c r="O1189" i="6"/>
  <c r="O1190" i="6"/>
  <c r="O1191" i="6"/>
  <c r="O1192" i="6"/>
  <c r="O1193" i="6"/>
  <c r="O1194" i="6"/>
  <c r="O1195" i="6"/>
  <c r="O1196" i="6"/>
  <c r="O1197" i="6"/>
  <c r="O1198" i="6"/>
  <c r="O1199" i="6"/>
  <c r="O1200" i="6"/>
  <c r="O1201" i="6"/>
  <c r="O1202" i="6"/>
  <c r="O485" i="6"/>
  <c r="O1203" i="6"/>
  <c r="O486" i="6"/>
  <c r="O487" i="6"/>
  <c r="O1204" i="6"/>
  <c r="O1205" i="6"/>
  <c r="O488" i="6"/>
  <c r="O489" i="6"/>
  <c r="O490" i="6"/>
  <c r="O491" i="6"/>
  <c r="O1206" i="6"/>
  <c r="O1207" i="6"/>
  <c r="O1208" i="6"/>
  <c r="O492" i="6"/>
  <c r="O1209" i="6"/>
  <c r="O493" i="6"/>
  <c r="O1210" i="6"/>
  <c r="O1211" i="6"/>
  <c r="O1212" i="6"/>
  <c r="O1213" i="6"/>
  <c r="O1214" i="6"/>
  <c r="O1215" i="6"/>
  <c r="O1216" i="6"/>
  <c r="O1217" i="6"/>
  <c r="O1218" i="6"/>
  <c r="O1219" i="6"/>
  <c r="O2" i="6"/>
</calcChain>
</file>

<file path=xl/sharedStrings.xml><?xml version="1.0" encoding="utf-8"?>
<sst xmlns="http://schemas.openxmlformats.org/spreadsheetml/2006/main" count="6126" uniqueCount="133">
  <si>
    <t xml:space="preserve">KHU VỰC </t>
  </si>
  <si>
    <t xml:space="preserve">CHI NHÁNH </t>
  </si>
  <si>
    <t>Mã TT</t>
  </si>
  <si>
    <t>Tháng</t>
  </si>
  <si>
    <t xml:space="preserve">NĂM </t>
  </si>
  <si>
    <t>Quý</t>
  </si>
  <si>
    <t xml:space="preserve">Mảng KD </t>
  </si>
  <si>
    <t xml:space="preserve">Hình thức bán hàng </t>
  </si>
  <si>
    <t xml:space="preserve">Tổng Doanh thu </t>
  </si>
  <si>
    <t xml:space="preserve">Các khoản giảm trừ DT </t>
  </si>
  <si>
    <t>Doanh thu thuần</t>
  </si>
  <si>
    <t>Giá vốn</t>
  </si>
  <si>
    <t>Lợi nhuận gộp</t>
  </si>
  <si>
    <t>Chi phí bán hàng</t>
  </si>
  <si>
    <t xml:space="preserve">% chi phí </t>
  </si>
  <si>
    <t xml:space="preserve">Thuê nhà, CP địa điểm </t>
  </si>
  <si>
    <t xml:space="preserve">Khấu hao TSCĐ </t>
  </si>
  <si>
    <t>Lương +Ăn ca + Các khoản trích theo lương</t>
  </si>
  <si>
    <t>Thưởng các loại</t>
  </si>
  <si>
    <t>Chi phí marketing</t>
  </si>
  <si>
    <t>Thuế (GTGT+ TTDB)</t>
  </si>
  <si>
    <t xml:space="preserve">Các khoản chi phí chung </t>
  </si>
  <si>
    <t>Chi phí quản lý (phân bổ)</t>
  </si>
  <si>
    <t>Lợi nhuận thuần từ hoạt động kinh doanh</t>
  </si>
  <si>
    <t>Doanh thu hoạt động tài chính</t>
  </si>
  <si>
    <t>Chi phí hoạt động tài chính</t>
  </si>
  <si>
    <t>Lợi nhuận thuần từ hoạt động tài chính</t>
  </si>
  <si>
    <t>Thu nhập khác</t>
  </si>
  <si>
    <t>Chi phí khác</t>
  </si>
  <si>
    <t>Lợi nhuận khác</t>
  </si>
  <si>
    <t>Tổng lợi nhuận trước thuế</t>
  </si>
  <si>
    <t>Chi phí thuế TNDN</t>
  </si>
  <si>
    <t>Lợi nhuận sau thuế</t>
  </si>
  <si>
    <t>Lợi nhuận NET</t>
  </si>
  <si>
    <t>Kế hoạch DTT</t>
  </si>
  <si>
    <t>Kế hoạch LNN</t>
  </si>
  <si>
    <t>MIỀN BẮC</t>
  </si>
  <si>
    <t>Hà Nội</t>
  </si>
  <si>
    <t>101101</t>
  </si>
  <si>
    <t>Thời trang nam</t>
  </si>
  <si>
    <t>BÁN SỈ</t>
  </si>
  <si>
    <t>101102</t>
  </si>
  <si>
    <t>Thời trang nữ</t>
  </si>
  <si>
    <t>Phụ kiện</t>
  </si>
  <si>
    <t>101103</t>
  </si>
  <si>
    <t>101105</t>
  </si>
  <si>
    <t>BÁN LẺ</t>
  </si>
  <si>
    <t>101106</t>
  </si>
  <si>
    <t>Thời trang Unisex</t>
  </si>
  <si>
    <t>101107</t>
  </si>
  <si>
    <t>101108</t>
  </si>
  <si>
    <t>101109</t>
  </si>
  <si>
    <t>101110</t>
  </si>
  <si>
    <t>101111</t>
  </si>
  <si>
    <t>101112</t>
  </si>
  <si>
    <t>101113</t>
  </si>
  <si>
    <t>101114</t>
  </si>
  <si>
    <t>101115</t>
  </si>
  <si>
    <t>101121</t>
  </si>
  <si>
    <t>101124</t>
  </si>
  <si>
    <t>101125</t>
  </si>
  <si>
    <t>101127</t>
  </si>
  <si>
    <t>101128</t>
  </si>
  <si>
    <t>101129</t>
  </si>
  <si>
    <t>101130</t>
  </si>
  <si>
    <t>CN Hải Phòng</t>
  </si>
  <si>
    <t>105101</t>
  </si>
  <si>
    <t>105102</t>
  </si>
  <si>
    <t>MIỀN TRUNG</t>
  </si>
  <si>
    <t>CN Đà Nẵng</t>
  </si>
  <si>
    <t>209101</t>
  </si>
  <si>
    <t>209102</t>
  </si>
  <si>
    <t>209103</t>
  </si>
  <si>
    <t>209104</t>
  </si>
  <si>
    <t>209105</t>
  </si>
  <si>
    <t>MIỀN NAM</t>
  </si>
  <si>
    <t>CN Cần Thơ</t>
  </si>
  <si>
    <t>311101</t>
  </si>
  <si>
    <t>CN Kiên Giang</t>
  </si>
  <si>
    <t>311201</t>
  </si>
  <si>
    <t>311202</t>
  </si>
  <si>
    <t>CN Vĩnh Long</t>
  </si>
  <si>
    <t>311301</t>
  </si>
  <si>
    <t>CN Hồ Chí Minh</t>
  </si>
  <si>
    <t>312102</t>
  </si>
  <si>
    <t>312103</t>
  </si>
  <si>
    <t>312104</t>
  </si>
  <si>
    <t>312105</t>
  </si>
  <si>
    <t>312106</t>
  </si>
  <si>
    <t>312107</t>
  </si>
  <si>
    <t>312108</t>
  </si>
  <si>
    <t>312109</t>
  </si>
  <si>
    <t>312110</t>
  </si>
  <si>
    <t>312111</t>
  </si>
  <si>
    <t>312112</t>
  </si>
  <si>
    <t>312113</t>
  </si>
  <si>
    <t>312114</t>
  </si>
  <si>
    <t>312115</t>
  </si>
  <si>
    <t>312116</t>
  </si>
  <si>
    <t>312117</t>
  </si>
  <si>
    <t>312118</t>
  </si>
  <si>
    <t>CN Nha Trang</t>
  </si>
  <si>
    <t>312201</t>
  </si>
  <si>
    <t>101116</t>
  </si>
  <si>
    <t>101117</t>
  </si>
  <si>
    <t>101118</t>
  </si>
  <si>
    <t>101119</t>
  </si>
  <si>
    <t>101120</t>
  </si>
  <si>
    <t>101126</t>
  </si>
  <si>
    <t>101131</t>
  </si>
  <si>
    <t>101132</t>
  </si>
  <si>
    <t>101133</t>
  </si>
  <si>
    <t>101135</t>
  </si>
  <si>
    <t>105103</t>
  </si>
  <si>
    <t>CN Hải Dương</t>
  </si>
  <si>
    <t>105201</t>
  </si>
  <si>
    <t>209106</t>
  </si>
  <si>
    <t>CN Quảng Nam</t>
  </si>
  <si>
    <t>209201</t>
  </si>
  <si>
    <t>311102</t>
  </si>
  <si>
    <t>311203</t>
  </si>
  <si>
    <t>CN Đồng Tháp</t>
  </si>
  <si>
    <t>311401</t>
  </si>
  <si>
    <t>CN An Giang</t>
  </si>
  <si>
    <t>311501</t>
  </si>
  <si>
    <t>312119</t>
  </si>
  <si>
    <t>312120</t>
  </si>
  <si>
    <t>312121</t>
  </si>
  <si>
    <t>312122</t>
  </si>
  <si>
    <t>312123</t>
  </si>
  <si>
    <t>312124</t>
  </si>
  <si>
    <t>CN Vũng Tầu</t>
  </si>
  <si>
    <t>312301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</si>
</sst>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Times New Roman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/>
    <xf numFmtId="2" fontId="1" fillId="2" borderId="1" xfId="0" applyNumberFormat="1" applyFont="1" applyFill="1" applyBorder="1"/>
    <xf numFmtId="2" fontId="1" fillId="0" borderId="1" xfId="0" applyNumberFormat="1" applyFont="1" applyBorder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1.%20BC%20PHONG%20KH&amp;PTTC\1.%20BC%20N&#259;m%202020\2.%20BC%20N&#259;m\DATAGOC_nam%202020%20final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3"/>
      <sheetName val="datagoc ver1"/>
      <sheetName val="Sheet5"/>
      <sheetName val="DATA GOC "/>
      <sheetName val="Lọc xếp hạng"/>
      <sheetName val="Sheet4"/>
      <sheetName val="Chenh lech CPC"/>
      <sheetName val="DATA GOC 2019(làm lại)"/>
      <sheetName val="DATA GOC (cũ bị sai 2019)"/>
      <sheetName val="Sheet2"/>
      <sheetName val="Cũ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219"/>
  <sheetViews>
    <sheetView tabSelected="1" workbookViewId="0">
      <selection activeCell="C2" sqref="C2:C4"/>
    </sheetView>
  </sheetViews>
  <sheetFormatPr defaultColWidth="8.83203125" defaultRowHeight="12.75" x14ac:dyDescent="0.2"/>
  <cols>
    <col min="1" max="1" width="14.1640625" style="2" bestFit="1" customWidth="1"/>
    <col min="2" max="2" width="16.1640625" style="2" bestFit="1" customWidth="1"/>
    <col min="3" max="3" width="17.33203125" style="2" customWidth="1"/>
    <col min="4" max="4" width="7" style="2" bestFit="1" customWidth="1"/>
    <col min="5" max="5" width="6.83203125" style="2" bestFit="1" customWidth="1"/>
    <col min="6" max="6" width="6.1640625" style="2" customWidth="1"/>
    <col min="7" max="7" width="15" style="2" bestFit="1" customWidth="1"/>
    <col min="8" max="8" width="19.6640625" style="2" bestFit="1" customWidth="1"/>
    <col min="9" max="9" width="47.5" style="6" customWidth="1"/>
    <col min="10" max="10" width="22.6640625" style="2" bestFit="1" customWidth="1"/>
    <col min="11" max="11" width="16.6640625" style="2" bestFit="1" customWidth="1"/>
    <col min="12" max="12" width="13.33203125" style="2" bestFit="1" customWidth="1"/>
    <col min="13" max="13" width="14.33203125" style="2" bestFit="1" customWidth="1"/>
    <col min="14" max="14" width="16.6640625" style="2" bestFit="1" customWidth="1"/>
    <col min="15" max="15" width="16.6640625" style="2" customWidth="1"/>
    <col min="16" max="16" width="22" style="2" bestFit="1" customWidth="1"/>
    <col min="17" max="17" width="16.33203125" style="2" bestFit="1" customWidth="1"/>
    <col min="18" max="18" width="41.33203125" style="2" bestFit="1" customWidth="1"/>
    <col min="19" max="19" width="15.83203125" style="2" bestFit="1" customWidth="1"/>
    <col min="20" max="20" width="16.83203125" style="2" bestFit="1" customWidth="1"/>
    <col min="21" max="21" width="20.6640625" style="2" bestFit="1" customWidth="1"/>
    <col min="22" max="22" width="24.1640625" style="2" bestFit="1" customWidth="1"/>
    <col min="23" max="23" width="24.33203125" style="2" bestFit="1" customWidth="1"/>
    <col min="24" max="24" width="39.6640625" style="2" bestFit="1" customWidth="1"/>
    <col min="25" max="25" width="29.1640625" style="2" bestFit="1" customWidth="1"/>
    <col min="26" max="26" width="26" style="2" bestFit="1" customWidth="1"/>
    <col min="27" max="27" width="37" style="2" bestFit="1" customWidth="1"/>
    <col min="28" max="28" width="14.83203125" style="2" bestFit="1" customWidth="1"/>
    <col min="29" max="29" width="12.1640625" style="2" bestFit="1" customWidth="1"/>
    <col min="30" max="30" width="15" style="2" bestFit="1" customWidth="1"/>
    <col min="31" max="31" width="25" style="2" bestFit="1" customWidth="1"/>
    <col min="32" max="33" width="18.83203125" style="2" bestFit="1" customWidth="1"/>
    <col min="34" max="34" width="14.83203125" style="2" bestFit="1" customWidth="1"/>
    <col min="35" max="35" width="17.33203125" style="2" customWidth="1"/>
    <col min="36" max="36" width="20.33203125" style="2" customWidth="1"/>
    <col min="37" max="37" width="12.83203125" style="2" customWidth="1"/>
    <col min="38" max="16384" width="8.83203125" style="2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3" t="s">
        <v>36</v>
      </c>
      <c r="B2" s="3" t="s">
        <v>37</v>
      </c>
      <c r="C2" s="3" t="s">
        <v>38</v>
      </c>
      <c r="D2" s="3">
        <v>1</v>
      </c>
      <c r="E2" s="3">
        <v>2022</v>
      </c>
      <c r="F2" s="3">
        <v>1</v>
      </c>
      <c r="G2" s="3" t="s">
        <v>39</v>
      </c>
      <c r="H2" s="3" t="s">
        <v>40</v>
      </c>
      <c r="I2" s="5">
        <v>71660700708.610504</v>
      </c>
      <c r="J2" s="3">
        <v>0</v>
      </c>
      <c r="K2" s="3">
        <v>71660700708.610504</v>
      </c>
      <c r="L2" s="3">
        <v>71623172819.763931</v>
      </c>
      <c r="M2" s="3">
        <v>37527888.846563965</v>
      </c>
      <c r="N2" s="3">
        <v>18401675.401637699</v>
      </c>
      <c r="O2" s="3">
        <f t="shared" ref="O2:O10" si="0">N2/K2*100</f>
        <v>2.5678894037700385E-2</v>
      </c>
      <c r="P2" s="3">
        <v>186810.75</v>
      </c>
      <c r="Q2" s="3">
        <v>249081</v>
      </c>
      <c r="R2" s="3">
        <v>7421956.9429049157</v>
      </c>
      <c r="S2" s="3">
        <v>1109586.7537573162</v>
      </c>
      <c r="T2" s="3">
        <v>1873667.5381874056</v>
      </c>
      <c r="U2" s="3">
        <v>3752788.8846563967</v>
      </c>
      <c r="V2" s="3">
        <v>3807783.5321316686</v>
      </c>
      <c r="W2" s="3">
        <v>0</v>
      </c>
      <c r="X2" s="3">
        <v>19126213.444926262</v>
      </c>
      <c r="Y2" s="3">
        <v>2652514</v>
      </c>
      <c r="Z2" s="3">
        <v>8901500.6746197268</v>
      </c>
      <c r="AA2" s="3">
        <v>-6248986.6746197278</v>
      </c>
      <c r="AB2" s="3">
        <v>12715456</v>
      </c>
      <c r="AC2" s="3">
        <v>11265166</v>
      </c>
      <c r="AD2" s="3">
        <v>1450290</v>
      </c>
      <c r="AE2" s="3">
        <v>14327516.770306535</v>
      </c>
      <c r="AF2" s="3">
        <v>0</v>
      </c>
      <c r="AG2" s="3">
        <v>14327516.770306535</v>
      </c>
      <c r="AH2" s="3">
        <v>14327516.770306535</v>
      </c>
      <c r="AI2" s="3">
        <v>69600000000</v>
      </c>
      <c r="AJ2" s="3">
        <v>11600000</v>
      </c>
    </row>
    <row r="3" spans="1:36" x14ac:dyDescent="0.2">
      <c r="A3" s="3" t="s">
        <v>36</v>
      </c>
      <c r="B3" s="3" t="s">
        <v>37</v>
      </c>
      <c r="C3" s="3" t="s">
        <v>38</v>
      </c>
      <c r="D3" s="3">
        <v>2</v>
      </c>
      <c r="E3" s="3">
        <v>2022</v>
      </c>
      <c r="F3" s="3">
        <v>1</v>
      </c>
      <c r="G3" s="3" t="s">
        <v>39</v>
      </c>
      <c r="H3" s="3" t="s">
        <v>40</v>
      </c>
      <c r="I3" s="5">
        <v>79432413894.427994</v>
      </c>
      <c r="J3" s="3">
        <v>0</v>
      </c>
      <c r="K3" s="3">
        <v>79432413894.427994</v>
      </c>
      <c r="L3" s="3">
        <v>79384269141.099991</v>
      </c>
      <c r="M3" s="3">
        <v>48144753.327999994</v>
      </c>
      <c r="N3" s="3">
        <v>17096150.975850999</v>
      </c>
      <c r="O3" s="3">
        <f t="shared" si="0"/>
        <v>2.1522889885447958E-2</v>
      </c>
      <c r="P3" s="3">
        <v>180369</v>
      </c>
      <c r="Q3" s="3">
        <v>240492</v>
      </c>
      <c r="R3" s="3">
        <v>7717710.1437692298</v>
      </c>
      <c r="S3" s="3">
        <v>1071325.1415587878</v>
      </c>
      <c r="T3" s="3">
        <v>1983702.7060096455</v>
      </c>
      <c r="U3" s="3">
        <v>4814475.3328</v>
      </c>
      <c r="V3" s="3">
        <v>1088076.6517133354</v>
      </c>
      <c r="W3" s="3">
        <v>0</v>
      </c>
      <c r="X3" s="3">
        <v>31048602.352148999</v>
      </c>
      <c r="Y3" s="3">
        <v>8014524</v>
      </c>
      <c r="Z3" s="3">
        <v>20419152.215301156</v>
      </c>
      <c r="AA3" s="3">
        <v>-12404628.215301152</v>
      </c>
      <c r="AB3" s="3">
        <v>5353739.9999999991</v>
      </c>
      <c r="AC3" s="3">
        <v>6298292</v>
      </c>
      <c r="AD3" s="3">
        <v>-944552</v>
      </c>
      <c r="AE3" s="3">
        <v>17699422.136847839</v>
      </c>
      <c r="AF3" s="3">
        <v>0</v>
      </c>
      <c r="AG3" s="3">
        <v>17699422.136847839</v>
      </c>
      <c r="AH3" s="3">
        <v>17699422.136847839</v>
      </c>
      <c r="AI3" s="3">
        <v>78399999999.999985</v>
      </c>
      <c r="AJ3" s="3">
        <v>16240000</v>
      </c>
    </row>
    <row r="4" spans="1:36" x14ac:dyDescent="0.2">
      <c r="A4" s="3" t="s">
        <v>36</v>
      </c>
      <c r="B4" s="3" t="s">
        <v>37</v>
      </c>
      <c r="C4" s="3" t="s">
        <v>38</v>
      </c>
      <c r="D4" s="3">
        <v>3</v>
      </c>
      <c r="E4" s="3">
        <v>2022</v>
      </c>
      <c r="F4" s="3">
        <v>1</v>
      </c>
      <c r="G4" s="3" t="s">
        <v>39</v>
      </c>
      <c r="H4" s="3" t="s">
        <v>40</v>
      </c>
      <c r="I4" s="5">
        <v>103348727079.91</v>
      </c>
      <c r="J4" s="3">
        <v>0</v>
      </c>
      <c r="K4" s="3">
        <v>103348727079.91035</v>
      </c>
      <c r="L4" s="3">
        <v>103307993347.2</v>
      </c>
      <c r="M4" s="3">
        <v>40733732.710359372</v>
      </c>
      <c r="N4" s="3">
        <v>13355210.372968726</v>
      </c>
      <c r="O4" s="3">
        <f t="shared" si="0"/>
        <v>1.2922472051970542E-2</v>
      </c>
      <c r="P4" s="3">
        <v>154602</v>
      </c>
      <c r="Q4" s="3">
        <v>206136</v>
      </c>
      <c r="R4" s="3">
        <v>6376612.9491923079</v>
      </c>
      <c r="S4" s="3">
        <v>1066209.8927646754</v>
      </c>
      <c r="T4" s="3">
        <v>457007.12993580266</v>
      </c>
      <c r="U4" s="3">
        <v>4073373.2710359381</v>
      </c>
      <c r="V4" s="3">
        <v>1021269.1300400019</v>
      </c>
      <c r="W4" s="3">
        <v>0</v>
      </c>
      <c r="X4" s="3">
        <v>27378522.33739065</v>
      </c>
      <c r="Y4" s="3">
        <v>57272088</v>
      </c>
      <c r="Z4" s="3">
        <v>8318348.6399999997</v>
      </c>
      <c r="AA4" s="3">
        <v>48953739.359999999</v>
      </c>
      <c r="AB4" s="3">
        <v>3373421.0039999997</v>
      </c>
      <c r="AC4" s="3">
        <v>0</v>
      </c>
      <c r="AD4" s="3">
        <v>3373421.0039999997</v>
      </c>
      <c r="AE4" s="3">
        <v>79705682.701390654</v>
      </c>
      <c r="AF4" s="3">
        <v>0</v>
      </c>
      <c r="AG4" s="3">
        <v>79705682.701390654</v>
      </c>
      <c r="AH4" s="3">
        <v>79705682.701390654</v>
      </c>
      <c r="AI4" s="3">
        <v>57600000000</v>
      </c>
      <c r="AJ4" s="3">
        <v>77616000</v>
      </c>
    </row>
    <row r="5" spans="1:36" x14ac:dyDescent="0.2">
      <c r="A5" s="3" t="s">
        <v>36</v>
      </c>
      <c r="B5" s="3" t="s">
        <v>37</v>
      </c>
      <c r="C5" s="3" t="s">
        <v>41</v>
      </c>
      <c r="D5" s="3">
        <v>3</v>
      </c>
      <c r="E5" s="3">
        <v>2022</v>
      </c>
      <c r="F5" s="3">
        <v>1</v>
      </c>
      <c r="G5" s="3" t="s">
        <v>42</v>
      </c>
      <c r="H5" s="3" t="s">
        <v>40</v>
      </c>
      <c r="I5" s="5">
        <v>6367900</v>
      </c>
      <c r="J5" s="3">
        <v>0</v>
      </c>
      <c r="K5" s="3">
        <v>6367900</v>
      </c>
      <c r="L5" s="3">
        <v>2014909.7877634857</v>
      </c>
      <c r="M5" s="3">
        <v>4352990.2122365143</v>
      </c>
      <c r="N5" s="3">
        <v>14266911.072791478</v>
      </c>
      <c r="O5" s="3">
        <f t="shared" si="0"/>
        <v>224.04420723930144</v>
      </c>
      <c r="P5" s="3">
        <v>412434</v>
      </c>
      <c r="Q5" s="3">
        <v>138251.674</v>
      </c>
      <c r="R5" s="3">
        <v>3615989.3880000003</v>
      </c>
      <c r="S5" s="3">
        <v>985725.83679147402</v>
      </c>
      <c r="T5" s="3">
        <v>0</v>
      </c>
      <c r="U5" s="3">
        <v>1082662.1740000001</v>
      </c>
      <c r="V5" s="3">
        <v>8031848.0000000019</v>
      </c>
      <c r="W5" s="3">
        <v>0</v>
      </c>
      <c r="X5" s="3">
        <v>-9913920.8605549615</v>
      </c>
      <c r="Y5" s="3">
        <v>1672253.2192883682</v>
      </c>
      <c r="Z5" s="3">
        <v>2980841.6277297791</v>
      </c>
      <c r="AA5" s="3">
        <v>-1308588.4084414109</v>
      </c>
      <c r="AB5" s="3">
        <v>5640056.2405944569</v>
      </c>
      <c r="AC5" s="3">
        <v>0</v>
      </c>
      <c r="AD5" s="3">
        <v>5640056.2405944569</v>
      </c>
      <c r="AE5" s="3">
        <v>-5582453.0284019168</v>
      </c>
      <c r="AF5" s="3">
        <v>0</v>
      </c>
      <c r="AG5" s="3">
        <v>-5582453.0284019168</v>
      </c>
      <c r="AH5" s="3">
        <v>-5582453.0284019168</v>
      </c>
      <c r="AI5" s="3">
        <v>48400000</v>
      </c>
      <c r="AJ5" s="3">
        <v>4840000.0000000009</v>
      </c>
    </row>
    <row r="6" spans="1:36" x14ac:dyDescent="0.2">
      <c r="A6" s="3" t="s">
        <v>36</v>
      </c>
      <c r="B6" s="3" t="s">
        <v>37</v>
      </c>
      <c r="C6" s="3" t="s">
        <v>41</v>
      </c>
      <c r="D6" s="3">
        <v>1</v>
      </c>
      <c r="E6" s="3">
        <v>2022</v>
      </c>
      <c r="F6" s="3">
        <v>1</v>
      </c>
      <c r="G6" s="3" t="s">
        <v>43</v>
      </c>
      <c r="H6" s="3" t="s">
        <v>40</v>
      </c>
      <c r="I6" s="5">
        <v>13292307.832500001</v>
      </c>
      <c r="J6" s="3">
        <v>127787.99999999997</v>
      </c>
      <c r="K6" s="3">
        <v>13164519.8325</v>
      </c>
      <c r="L6" s="3">
        <v>11140419.609999999</v>
      </c>
      <c r="M6" s="3">
        <v>2024100.2224999997</v>
      </c>
      <c r="N6" s="3">
        <v>0</v>
      </c>
      <c r="O6" s="3">
        <f t="shared" si="0"/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2024100.2224999997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2024100.2224999997</v>
      </c>
      <c r="AF6" s="3">
        <v>0</v>
      </c>
      <c r="AG6" s="3">
        <v>2024100.2224999997</v>
      </c>
      <c r="AH6" s="3">
        <v>2024100.2224999997</v>
      </c>
      <c r="AI6" s="3">
        <v>0</v>
      </c>
      <c r="AJ6" s="3">
        <v>0</v>
      </c>
    </row>
    <row r="7" spans="1:36" x14ac:dyDescent="0.2">
      <c r="A7" s="3" t="s">
        <v>36</v>
      </c>
      <c r="B7" s="3" t="s">
        <v>37</v>
      </c>
      <c r="C7" s="3" t="s">
        <v>41</v>
      </c>
      <c r="D7" s="3">
        <v>1</v>
      </c>
      <c r="E7" s="3">
        <v>2022</v>
      </c>
      <c r="F7" s="3">
        <v>1</v>
      </c>
      <c r="G7" s="3" t="s">
        <v>42</v>
      </c>
      <c r="H7" s="3" t="s">
        <v>40</v>
      </c>
      <c r="I7" s="5">
        <v>18981571</v>
      </c>
      <c r="J7" s="3">
        <v>36971.599999999999</v>
      </c>
      <c r="K7" s="3">
        <v>18944599.399999999</v>
      </c>
      <c r="L7" s="3">
        <v>7380050.71</v>
      </c>
      <c r="M7" s="3">
        <v>11564548.689999999</v>
      </c>
      <c r="N7" s="3">
        <v>22887253.457645196</v>
      </c>
      <c r="O7" s="3">
        <f t="shared" si="0"/>
        <v>120.81149342036338</v>
      </c>
      <c r="P7" s="3">
        <v>318699</v>
      </c>
      <c r="Q7" s="3">
        <v>420863.33899999998</v>
      </c>
      <c r="R7" s="3">
        <v>2828318.9296652423</v>
      </c>
      <c r="S7" s="3">
        <v>1780144.2079799555</v>
      </c>
      <c r="T7" s="3">
        <v>253572</v>
      </c>
      <c r="U7" s="3">
        <v>1306062.281</v>
      </c>
      <c r="V7" s="3">
        <v>15979593.700000001</v>
      </c>
      <c r="W7" s="3">
        <v>0</v>
      </c>
      <c r="X7" s="3">
        <v>-11322704.767645197</v>
      </c>
      <c r="Y7" s="3">
        <v>1050809.5156365468</v>
      </c>
      <c r="Z7" s="3">
        <v>2229894.5333333337</v>
      </c>
      <c r="AA7" s="3">
        <v>-1179085.0176967869</v>
      </c>
      <c r="AB7" s="3">
        <v>9884025.6916841846</v>
      </c>
      <c r="AC7" s="3">
        <v>0</v>
      </c>
      <c r="AD7" s="3">
        <v>9884025.6916841846</v>
      </c>
      <c r="AE7" s="3">
        <v>-2617764.0936577981</v>
      </c>
      <c r="AF7" s="3">
        <v>0</v>
      </c>
      <c r="AG7" s="3">
        <v>-2617764.0936577981</v>
      </c>
      <c r="AH7" s="3">
        <v>-2617764.0936577981</v>
      </c>
      <c r="AI7" s="3">
        <v>18700000</v>
      </c>
      <c r="AJ7" s="3">
        <v>5100000</v>
      </c>
    </row>
    <row r="8" spans="1:36" x14ac:dyDescent="0.2">
      <c r="A8" s="3" t="s">
        <v>36</v>
      </c>
      <c r="B8" s="3" t="s">
        <v>37</v>
      </c>
      <c r="C8" s="3" t="s">
        <v>41</v>
      </c>
      <c r="D8" s="3">
        <v>2</v>
      </c>
      <c r="E8" s="3">
        <v>2022</v>
      </c>
      <c r="F8" s="3">
        <v>1</v>
      </c>
      <c r="G8" s="3" t="s">
        <v>43</v>
      </c>
      <c r="H8" s="3" t="s">
        <v>40</v>
      </c>
      <c r="I8" s="5">
        <v>19138355.280000001</v>
      </c>
      <c r="J8" s="3">
        <v>1080</v>
      </c>
      <c r="K8" s="3">
        <v>19137275.280000001</v>
      </c>
      <c r="L8" s="3">
        <v>18161557.199999999</v>
      </c>
      <c r="M8" s="3">
        <v>975718.08000000007</v>
      </c>
      <c r="N8" s="3">
        <v>0</v>
      </c>
      <c r="O8" s="3">
        <f t="shared" si="0"/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975718.08000000007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975718.08000000007</v>
      </c>
      <c r="AF8" s="3">
        <v>0</v>
      </c>
      <c r="AG8" s="3">
        <v>975718.08000000007</v>
      </c>
      <c r="AH8" s="3">
        <v>975718.08000000007</v>
      </c>
      <c r="AI8" s="3">
        <v>0</v>
      </c>
      <c r="AJ8" s="3">
        <v>0</v>
      </c>
    </row>
    <row r="9" spans="1:36" x14ac:dyDescent="0.2">
      <c r="A9" s="3" t="s">
        <v>36</v>
      </c>
      <c r="B9" s="3" t="s">
        <v>37</v>
      </c>
      <c r="C9" s="3" t="s">
        <v>41</v>
      </c>
      <c r="D9" s="3">
        <v>3</v>
      </c>
      <c r="E9" s="3">
        <v>2022</v>
      </c>
      <c r="F9" s="3">
        <v>1</v>
      </c>
      <c r="G9" s="3" t="s">
        <v>43</v>
      </c>
      <c r="H9" s="3" t="s">
        <v>40</v>
      </c>
      <c r="I9" s="5">
        <v>32477679.933999997</v>
      </c>
      <c r="J9" s="3">
        <v>274904</v>
      </c>
      <c r="K9" s="3">
        <v>32202775.933999997</v>
      </c>
      <c r="L9" s="3">
        <v>28083192.213999998</v>
      </c>
      <c r="M9" s="3">
        <v>4119583.7199999997</v>
      </c>
      <c r="N9" s="3">
        <v>0</v>
      </c>
      <c r="O9" s="3">
        <f t="shared" si="0"/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4119583.7199999997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4119583.7199999997</v>
      </c>
      <c r="AF9" s="3">
        <v>0</v>
      </c>
      <c r="AG9" s="3">
        <v>4119583.7199999997</v>
      </c>
      <c r="AH9" s="3">
        <v>4119583.7199999997</v>
      </c>
      <c r="AI9" s="3">
        <v>0</v>
      </c>
      <c r="AJ9" s="3">
        <v>0</v>
      </c>
    </row>
    <row r="10" spans="1:36" x14ac:dyDescent="0.2">
      <c r="A10" s="3" t="s">
        <v>36</v>
      </c>
      <c r="B10" s="3" t="s">
        <v>37</v>
      </c>
      <c r="C10" s="3" t="s">
        <v>41</v>
      </c>
      <c r="D10" s="3">
        <v>2</v>
      </c>
      <c r="E10" s="3">
        <v>2022</v>
      </c>
      <c r="F10" s="3">
        <v>1</v>
      </c>
      <c r="G10" s="3" t="s">
        <v>42</v>
      </c>
      <c r="H10" s="3" t="s">
        <v>40</v>
      </c>
      <c r="I10" s="5">
        <v>35739330</v>
      </c>
      <c r="J10" s="3">
        <v>0</v>
      </c>
      <c r="K10" s="3">
        <v>35739330</v>
      </c>
      <c r="L10" s="3">
        <v>9238247.3344186842</v>
      </c>
      <c r="M10" s="3">
        <v>26501082.665581316</v>
      </c>
      <c r="N10" s="3">
        <v>10788068.881292067</v>
      </c>
      <c r="O10" s="3">
        <f t="shared" si="0"/>
        <v>30.185425639742174</v>
      </c>
      <c r="P10" s="3">
        <v>281205</v>
      </c>
      <c r="Q10" s="3">
        <v>78212.505000000005</v>
      </c>
      <c r="R10" s="3">
        <v>2495575.526175214</v>
      </c>
      <c r="S10" s="3">
        <v>3311236.7751168543</v>
      </c>
      <c r="T10" s="3">
        <v>0</v>
      </c>
      <c r="U10" s="3">
        <v>2731418.1</v>
      </c>
      <c r="V10" s="3">
        <v>1890420.9750000001</v>
      </c>
      <c r="W10" s="3">
        <v>0</v>
      </c>
      <c r="X10" s="3">
        <v>15713013.784289248</v>
      </c>
      <c r="Y10" s="3">
        <v>1023064.524550999</v>
      </c>
      <c r="Z10" s="3">
        <v>1867735.2478666676</v>
      </c>
      <c r="AA10" s="3">
        <v>-844670.72331566829</v>
      </c>
      <c r="AB10" s="3">
        <v>17326110.749815125</v>
      </c>
      <c r="AC10" s="3">
        <v>0</v>
      </c>
      <c r="AD10" s="3">
        <v>17326110.749815125</v>
      </c>
      <c r="AE10" s="3">
        <v>32194453.810788706</v>
      </c>
      <c r="AF10" s="3">
        <v>0</v>
      </c>
      <c r="AG10" s="3">
        <v>32194453.810788706</v>
      </c>
      <c r="AH10" s="3">
        <v>32194453.810788706</v>
      </c>
      <c r="AI10" s="3">
        <v>34500000</v>
      </c>
      <c r="AJ10" s="3">
        <v>9000000</v>
      </c>
    </row>
    <row r="11" spans="1:36" x14ac:dyDescent="0.2">
      <c r="A11" s="3" t="s">
        <v>36</v>
      </c>
      <c r="B11" s="3" t="s">
        <v>37</v>
      </c>
      <c r="C11" s="3" t="s">
        <v>44</v>
      </c>
      <c r="D11" s="3">
        <v>1</v>
      </c>
      <c r="E11" s="3">
        <v>2022</v>
      </c>
      <c r="F11" s="3">
        <v>1</v>
      </c>
      <c r="G11" s="3" t="s">
        <v>42</v>
      </c>
      <c r="H11" s="3" t="s">
        <v>40</v>
      </c>
      <c r="I11" s="5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</row>
    <row r="12" spans="1:36" x14ac:dyDescent="0.2">
      <c r="A12" s="3" t="s">
        <v>36</v>
      </c>
      <c r="B12" s="3" t="s">
        <v>37</v>
      </c>
      <c r="C12" s="3" t="s">
        <v>44</v>
      </c>
      <c r="D12" s="3">
        <v>1</v>
      </c>
      <c r="E12" s="3">
        <v>2022</v>
      </c>
      <c r="F12" s="3">
        <v>1</v>
      </c>
      <c r="G12" s="3" t="s">
        <v>39</v>
      </c>
      <c r="H12" s="3" t="s">
        <v>40</v>
      </c>
      <c r="I12" s="5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</row>
    <row r="13" spans="1:36" x14ac:dyDescent="0.2">
      <c r="A13" s="3" t="s">
        <v>36</v>
      </c>
      <c r="B13" s="3" t="s">
        <v>37</v>
      </c>
      <c r="C13" s="3" t="s">
        <v>44</v>
      </c>
      <c r="D13" s="3">
        <v>2</v>
      </c>
      <c r="E13" s="3">
        <v>2022</v>
      </c>
      <c r="F13" s="3">
        <v>1</v>
      </c>
      <c r="G13" s="3" t="s">
        <v>42</v>
      </c>
      <c r="H13" s="3" t="s">
        <v>40</v>
      </c>
      <c r="I13" s="5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A14" s="3" t="s">
        <v>36</v>
      </c>
      <c r="B14" s="3" t="s">
        <v>37</v>
      </c>
      <c r="C14" s="3" t="s">
        <v>44</v>
      </c>
      <c r="D14" s="3">
        <v>2</v>
      </c>
      <c r="E14" s="3">
        <v>2022</v>
      </c>
      <c r="F14" s="3">
        <v>1</v>
      </c>
      <c r="G14" s="3" t="s">
        <v>39</v>
      </c>
      <c r="H14" s="3" t="s">
        <v>40</v>
      </c>
      <c r="I14" s="5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A15" s="3" t="s">
        <v>36</v>
      </c>
      <c r="B15" s="3" t="s">
        <v>37</v>
      </c>
      <c r="C15" s="3" t="s">
        <v>44</v>
      </c>
      <c r="D15" s="3">
        <v>3</v>
      </c>
      <c r="E15" s="3">
        <v>2022</v>
      </c>
      <c r="F15" s="3">
        <v>1</v>
      </c>
      <c r="G15" s="3" t="s">
        <v>39</v>
      </c>
      <c r="H15" s="3" t="s">
        <v>40</v>
      </c>
      <c r="I15" s="5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A16" s="3" t="s">
        <v>36</v>
      </c>
      <c r="B16" s="3" t="s">
        <v>37</v>
      </c>
      <c r="C16" s="3" t="s">
        <v>44</v>
      </c>
      <c r="D16" s="3">
        <v>3</v>
      </c>
      <c r="E16" s="3">
        <v>2022</v>
      </c>
      <c r="F16" s="3">
        <v>1</v>
      </c>
      <c r="G16" s="3" t="s">
        <v>42</v>
      </c>
      <c r="H16" s="3" t="s">
        <v>40</v>
      </c>
      <c r="I16" s="5">
        <v>585800</v>
      </c>
      <c r="J16" s="3">
        <v>134100</v>
      </c>
      <c r="K16" s="3">
        <v>451700</v>
      </c>
      <c r="L16" s="3">
        <v>351480</v>
      </c>
      <c r="M16" s="3">
        <v>100220</v>
      </c>
      <c r="N16" s="3">
        <v>0</v>
      </c>
      <c r="O16" s="3">
        <f t="shared" ref="O16:O79" si="1">N16/K16*100</f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100220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100220</v>
      </c>
      <c r="AF16" s="3">
        <v>0</v>
      </c>
      <c r="AG16" s="3">
        <v>100220</v>
      </c>
      <c r="AH16" s="3">
        <v>100220</v>
      </c>
      <c r="AI16" s="3">
        <v>0</v>
      </c>
      <c r="AJ16" s="3">
        <v>0</v>
      </c>
    </row>
    <row r="17" spans="1:36" x14ac:dyDescent="0.2">
      <c r="A17" s="3" t="s">
        <v>36</v>
      </c>
      <c r="B17" s="3" t="s">
        <v>37</v>
      </c>
      <c r="C17" s="3" t="s">
        <v>45</v>
      </c>
      <c r="D17" s="3">
        <v>3</v>
      </c>
      <c r="E17" s="3">
        <v>2022</v>
      </c>
      <c r="F17" s="3">
        <v>1</v>
      </c>
      <c r="G17" s="3" t="s">
        <v>42</v>
      </c>
      <c r="H17" s="3" t="s">
        <v>46</v>
      </c>
      <c r="I17" s="5">
        <v>999229.00000000012</v>
      </c>
      <c r="J17" s="3">
        <v>126897.10000000003</v>
      </c>
      <c r="K17" s="3">
        <v>872331.9</v>
      </c>
      <c r="L17" s="3">
        <v>603057.4</v>
      </c>
      <c r="M17" s="3">
        <v>269274.50000000006</v>
      </c>
      <c r="N17" s="3">
        <v>359813.04838457459</v>
      </c>
      <c r="O17" s="3">
        <f t="shared" si="1"/>
        <v>41.247264760646104</v>
      </c>
      <c r="P17" s="3">
        <v>0</v>
      </c>
      <c r="Q17" s="3">
        <v>4492.0370000000003</v>
      </c>
      <c r="R17" s="3">
        <v>116543.70601923071</v>
      </c>
      <c r="S17" s="3">
        <v>211849.85536534386</v>
      </c>
      <c r="T17" s="3">
        <v>0</v>
      </c>
      <c r="U17" s="3">
        <v>26927.449999999997</v>
      </c>
      <c r="V17" s="3">
        <v>0</v>
      </c>
      <c r="W17" s="3">
        <v>0</v>
      </c>
      <c r="X17" s="3">
        <v>-90538.548384574548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-90538.548384574548</v>
      </c>
      <c r="AF17" s="3">
        <v>0</v>
      </c>
      <c r="AG17" s="3">
        <v>-90538.548384574548</v>
      </c>
      <c r="AH17" s="3">
        <v>-90538.548384574548</v>
      </c>
      <c r="AI17" s="3">
        <v>605000.00000000012</v>
      </c>
      <c r="AJ17" s="3">
        <v>137133.33333333334</v>
      </c>
    </row>
    <row r="18" spans="1:36" x14ac:dyDescent="0.2">
      <c r="A18" s="3" t="s">
        <v>36</v>
      </c>
      <c r="B18" s="3" t="s">
        <v>37</v>
      </c>
      <c r="C18" s="3" t="s">
        <v>45</v>
      </c>
      <c r="D18" s="3">
        <v>2</v>
      </c>
      <c r="E18" s="3">
        <v>2022</v>
      </c>
      <c r="F18" s="3">
        <v>1</v>
      </c>
      <c r="G18" s="3" t="s">
        <v>42</v>
      </c>
      <c r="H18" s="3" t="s">
        <v>46</v>
      </c>
      <c r="I18" s="5">
        <v>5341298</v>
      </c>
      <c r="J18" s="3">
        <v>180470.3</v>
      </c>
      <c r="K18" s="3">
        <v>5160827.7</v>
      </c>
      <c r="L18" s="3">
        <v>3260538.8</v>
      </c>
      <c r="M18" s="3">
        <v>1900288.9000000001</v>
      </c>
      <c r="N18" s="3">
        <v>821165.13986598758</v>
      </c>
      <c r="O18" s="3">
        <f t="shared" si="1"/>
        <v>15.911500782442079</v>
      </c>
      <c r="P18" s="3">
        <v>0</v>
      </c>
      <c r="Q18" s="3">
        <v>3542.2389999999996</v>
      </c>
      <c r="R18" s="3">
        <v>115530.92893772895</v>
      </c>
      <c r="S18" s="3">
        <v>504703.61192825867</v>
      </c>
      <c r="T18" s="3">
        <v>0</v>
      </c>
      <c r="U18" s="3">
        <v>190028.88999999998</v>
      </c>
      <c r="V18" s="3">
        <v>7359.47</v>
      </c>
      <c r="W18" s="3">
        <v>0</v>
      </c>
      <c r="X18" s="3">
        <v>1079123.7601340124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1079123.7601340124</v>
      </c>
      <c r="AF18" s="3">
        <v>0</v>
      </c>
      <c r="AG18" s="3">
        <v>1079123.7601340124</v>
      </c>
      <c r="AH18" s="3">
        <v>1079123.7601340124</v>
      </c>
      <c r="AI18" s="3">
        <v>4420000</v>
      </c>
      <c r="AJ18" s="3">
        <v>1001866.6666666665</v>
      </c>
    </row>
    <row r="19" spans="1:36" x14ac:dyDescent="0.2">
      <c r="A19" s="3" t="s">
        <v>36</v>
      </c>
      <c r="B19" s="3" t="s">
        <v>37</v>
      </c>
      <c r="C19" s="3" t="s">
        <v>45</v>
      </c>
      <c r="D19" s="3">
        <v>1</v>
      </c>
      <c r="E19" s="3">
        <v>2022</v>
      </c>
      <c r="F19" s="3">
        <v>1</v>
      </c>
      <c r="G19" s="3" t="s">
        <v>42</v>
      </c>
      <c r="H19" s="3" t="s">
        <v>46</v>
      </c>
      <c r="I19" s="5">
        <v>13448232</v>
      </c>
      <c r="J19" s="3">
        <v>776297.2</v>
      </c>
      <c r="K19" s="3">
        <v>12671934.800000001</v>
      </c>
      <c r="L19" s="3">
        <v>8176459.2000000002</v>
      </c>
      <c r="M19" s="3">
        <v>4495475.5999999996</v>
      </c>
      <c r="N19" s="3">
        <v>1777782.3068320639</v>
      </c>
      <c r="O19" s="3">
        <f t="shared" si="1"/>
        <v>14.029288620014551</v>
      </c>
      <c r="P19" s="3">
        <v>0</v>
      </c>
      <c r="Q19" s="3">
        <v>11858</v>
      </c>
      <c r="R19" s="3">
        <v>193676.4615384615</v>
      </c>
      <c r="S19" s="3">
        <v>381795.08529360261</v>
      </c>
      <c r="T19" s="3">
        <v>0</v>
      </c>
      <c r="U19" s="3">
        <v>449547.56</v>
      </c>
      <c r="V19" s="3">
        <v>740905.20000000007</v>
      </c>
      <c r="W19" s="3">
        <v>0</v>
      </c>
      <c r="X19" s="3">
        <v>2717693.2931679357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2717693.2931679357</v>
      </c>
      <c r="AF19" s="3">
        <v>0</v>
      </c>
      <c r="AG19" s="3">
        <v>2717693.2931679357</v>
      </c>
      <c r="AH19" s="3">
        <v>2717693.2931679357</v>
      </c>
      <c r="AI19" s="3">
        <v>11200000</v>
      </c>
      <c r="AJ19" s="3">
        <v>2538666.666666666</v>
      </c>
    </row>
    <row r="20" spans="1:36" x14ac:dyDescent="0.2">
      <c r="A20" s="3" t="s">
        <v>36</v>
      </c>
      <c r="B20" s="3" t="s">
        <v>37</v>
      </c>
      <c r="C20" s="3" t="s">
        <v>45</v>
      </c>
      <c r="D20" s="3">
        <v>3</v>
      </c>
      <c r="E20" s="3">
        <v>2022</v>
      </c>
      <c r="F20" s="3">
        <v>1</v>
      </c>
      <c r="G20" s="3" t="s">
        <v>39</v>
      </c>
      <c r="H20" s="3" t="s">
        <v>46</v>
      </c>
      <c r="I20" s="5">
        <v>829351870.3439945</v>
      </c>
      <c r="J20" s="3">
        <v>0</v>
      </c>
      <c r="K20" s="3">
        <v>829351870.3439945</v>
      </c>
      <c r="L20" s="3">
        <v>827960777.14386439</v>
      </c>
      <c r="M20" s="3">
        <v>1391093.2001301574</v>
      </c>
      <c r="N20" s="3">
        <v>1828565.3904438412</v>
      </c>
      <c r="O20" s="3">
        <f t="shared" si="1"/>
        <v>0.22048125238873553</v>
      </c>
      <c r="P20" s="3">
        <v>0</v>
      </c>
      <c r="Q20" s="3">
        <v>56299.120999999999</v>
      </c>
      <c r="R20" s="3">
        <v>1502734.8430263954</v>
      </c>
      <c r="S20" s="3">
        <v>43553.393025728146</v>
      </c>
      <c r="T20" s="3">
        <v>63315.145378701971</v>
      </c>
      <c r="U20" s="3">
        <v>139109.32001301573</v>
      </c>
      <c r="V20" s="3">
        <v>23553.567999999999</v>
      </c>
      <c r="W20" s="3">
        <v>0</v>
      </c>
      <c r="X20" s="3">
        <v>-437472.19031368371</v>
      </c>
      <c r="Y20" s="3">
        <v>1460198.563417899</v>
      </c>
      <c r="Z20" s="3">
        <v>1723536.7770597038</v>
      </c>
      <c r="AA20" s="3">
        <v>-263338.21364180499</v>
      </c>
      <c r="AB20" s="3">
        <v>1305</v>
      </c>
      <c r="AC20" s="3">
        <v>0</v>
      </c>
      <c r="AD20" s="3">
        <v>1305</v>
      </c>
      <c r="AE20" s="3">
        <v>-699505.40395548858</v>
      </c>
      <c r="AF20" s="3">
        <v>0</v>
      </c>
      <c r="AG20" s="3">
        <v>-699505.40395548858</v>
      </c>
      <c r="AH20" s="3">
        <v>-699505.40395548858</v>
      </c>
      <c r="AI20" s="3">
        <v>1631250000</v>
      </c>
      <c r="AJ20" s="3">
        <v>142289.71962616823</v>
      </c>
    </row>
    <row r="21" spans="1:36" x14ac:dyDescent="0.2">
      <c r="A21" s="3" t="s">
        <v>36</v>
      </c>
      <c r="B21" s="3" t="s">
        <v>37</v>
      </c>
      <c r="C21" s="3" t="s">
        <v>45</v>
      </c>
      <c r="D21" s="3">
        <v>2</v>
      </c>
      <c r="E21" s="3">
        <v>2022</v>
      </c>
      <c r="F21" s="3">
        <v>1</v>
      </c>
      <c r="G21" s="3" t="s">
        <v>39</v>
      </c>
      <c r="H21" s="3" t="s">
        <v>46</v>
      </c>
      <c r="I21" s="5">
        <v>1409634364.9424603</v>
      </c>
      <c r="J21" s="3">
        <v>0</v>
      </c>
      <c r="K21" s="3">
        <v>1409634364.9424603</v>
      </c>
      <c r="L21" s="3">
        <v>1406996747.2882528</v>
      </c>
      <c r="M21" s="3">
        <v>2637617.6542078853</v>
      </c>
      <c r="N21" s="3">
        <v>1357684.2304472963</v>
      </c>
      <c r="O21" s="3">
        <f t="shared" si="1"/>
        <v>9.6314637626099264E-2</v>
      </c>
      <c r="P21" s="3">
        <v>0</v>
      </c>
      <c r="Q21" s="3">
        <v>36885.631000000001</v>
      </c>
      <c r="R21" s="3">
        <v>889097.61483454623</v>
      </c>
      <c r="S21" s="3">
        <v>28534.981637546029</v>
      </c>
      <c r="T21" s="3">
        <v>127601.58955441503</v>
      </c>
      <c r="U21" s="3">
        <v>263761.76542078861</v>
      </c>
      <c r="V21" s="3">
        <v>11802.648000000001</v>
      </c>
      <c r="W21" s="3">
        <v>0</v>
      </c>
      <c r="X21" s="3">
        <v>1279933.4237605894</v>
      </c>
      <c r="Y21" s="3">
        <v>1488250.1984829339</v>
      </c>
      <c r="Z21" s="3">
        <v>1802630.0701447004</v>
      </c>
      <c r="AA21" s="3">
        <v>-314379.87166176643</v>
      </c>
      <c r="AB21" s="3">
        <v>190</v>
      </c>
      <c r="AC21" s="3">
        <v>0</v>
      </c>
      <c r="AD21" s="3">
        <v>190</v>
      </c>
      <c r="AE21" s="3">
        <v>965743.55209882313</v>
      </c>
      <c r="AF21" s="3">
        <v>0</v>
      </c>
      <c r="AG21" s="3">
        <v>965743.55209882313</v>
      </c>
      <c r="AH21" s="3">
        <v>965743.55209882313</v>
      </c>
      <c r="AI21" s="3">
        <v>1330000000</v>
      </c>
      <c r="AJ21" s="3">
        <v>116012.46105919001</v>
      </c>
    </row>
    <row r="22" spans="1:36" x14ac:dyDescent="0.2">
      <c r="A22" s="3" t="s">
        <v>36</v>
      </c>
      <c r="B22" s="3" t="s">
        <v>37</v>
      </c>
      <c r="C22" s="3" t="s">
        <v>45</v>
      </c>
      <c r="D22" s="3">
        <v>1</v>
      </c>
      <c r="E22" s="3">
        <v>2022</v>
      </c>
      <c r="F22" s="3">
        <v>1</v>
      </c>
      <c r="G22" s="3" t="s">
        <v>39</v>
      </c>
      <c r="H22" s="3" t="s">
        <v>46</v>
      </c>
      <c r="I22" s="5">
        <v>1714488063.7388337</v>
      </c>
      <c r="J22" s="3">
        <v>0</v>
      </c>
      <c r="K22" s="3">
        <v>1714488063.7388337</v>
      </c>
      <c r="L22" s="3">
        <v>1712634229.2058847</v>
      </c>
      <c r="M22" s="3">
        <v>1853834.5329489138</v>
      </c>
      <c r="N22" s="3">
        <v>1395376.1001901007</v>
      </c>
      <c r="O22" s="3">
        <f t="shared" si="1"/>
        <v>8.1387332446465899E-2</v>
      </c>
      <c r="P22" s="3">
        <v>0</v>
      </c>
      <c r="Q22" s="3">
        <v>0</v>
      </c>
      <c r="R22" s="3">
        <v>915972.01636237907</v>
      </c>
      <c r="S22" s="3">
        <v>30036.822776364243</v>
      </c>
      <c r="T22" s="3">
        <v>142916.52775646604</v>
      </c>
      <c r="U22" s="3">
        <v>185383.45329489137</v>
      </c>
      <c r="V22" s="3">
        <v>121067.28</v>
      </c>
      <c r="W22" s="3">
        <v>0</v>
      </c>
      <c r="X22" s="3">
        <v>458458.43275881262</v>
      </c>
      <c r="Y22" s="3">
        <v>1371695.6916426667</v>
      </c>
      <c r="Z22" s="3">
        <v>1861697.0007598915</v>
      </c>
      <c r="AA22" s="3">
        <v>-490001.30911722482</v>
      </c>
      <c r="AB22" s="3">
        <v>15100</v>
      </c>
      <c r="AC22" s="3">
        <v>0</v>
      </c>
      <c r="AD22" s="3">
        <v>15100</v>
      </c>
      <c r="AE22" s="3">
        <v>-16442.876358412206</v>
      </c>
      <c r="AF22" s="3">
        <v>0</v>
      </c>
      <c r="AG22" s="3">
        <v>-16442.876358412206</v>
      </c>
      <c r="AH22" s="3">
        <v>-16442.876358412206</v>
      </c>
      <c r="AI22" s="3">
        <v>1900000000</v>
      </c>
      <c r="AJ22" s="3">
        <v>165732.08722741433</v>
      </c>
    </row>
    <row r="23" spans="1:36" x14ac:dyDescent="0.2">
      <c r="A23" s="3" t="s">
        <v>36</v>
      </c>
      <c r="B23" s="3" t="s">
        <v>37</v>
      </c>
      <c r="C23" s="3" t="s">
        <v>47</v>
      </c>
      <c r="D23" s="3">
        <v>3</v>
      </c>
      <c r="E23" s="3">
        <v>2022</v>
      </c>
      <c r="F23" s="3">
        <v>1</v>
      </c>
      <c r="G23" s="3" t="s">
        <v>42</v>
      </c>
      <c r="H23" s="3" t="s">
        <v>46</v>
      </c>
      <c r="I23" s="5">
        <v>143416</v>
      </c>
      <c r="J23" s="3">
        <v>4147</v>
      </c>
      <c r="K23" s="3">
        <v>139269</v>
      </c>
      <c r="L23" s="3">
        <v>87089.599999999991</v>
      </c>
      <c r="M23" s="3">
        <v>52179.399999999994</v>
      </c>
      <c r="N23" s="3">
        <v>240542.80928709748</v>
      </c>
      <c r="O23" s="3">
        <f t="shared" si="1"/>
        <v>172.71812771478037</v>
      </c>
      <c r="P23" s="3">
        <v>39468</v>
      </c>
      <c r="Q23" s="3">
        <v>3565.3929999999996</v>
      </c>
      <c r="R23" s="3">
        <v>45217.726418604645</v>
      </c>
      <c r="S23" s="3">
        <v>144030.12486849283</v>
      </c>
      <c r="T23" s="3">
        <v>0</v>
      </c>
      <c r="U23" s="3">
        <v>5217.9399999999996</v>
      </c>
      <c r="V23" s="3">
        <v>3043.625</v>
      </c>
      <c r="W23" s="3">
        <v>0</v>
      </c>
      <c r="X23" s="3">
        <v>-188363.40928709749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-188363.40928709749</v>
      </c>
      <c r="AF23" s="3">
        <v>0</v>
      </c>
      <c r="AG23" s="3">
        <v>-188363.40928709749</v>
      </c>
      <c r="AH23" s="3">
        <v>-188363.40928709749</v>
      </c>
      <c r="AI23" s="3">
        <v>260000</v>
      </c>
      <c r="AJ23" s="3">
        <v>58933.333333333328</v>
      </c>
    </row>
    <row r="24" spans="1:36" ht="12" customHeight="1" x14ac:dyDescent="0.2">
      <c r="A24" s="3" t="s">
        <v>36</v>
      </c>
      <c r="B24" s="3" t="s">
        <v>37</v>
      </c>
      <c r="C24" s="3" t="s">
        <v>47</v>
      </c>
      <c r="D24" s="3">
        <v>1</v>
      </c>
      <c r="E24" s="3">
        <v>2022</v>
      </c>
      <c r="F24" s="3">
        <v>1</v>
      </c>
      <c r="G24" s="3" t="s">
        <v>42</v>
      </c>
      <c r="H24" s="3" t="s">
        <v>46</v>
      </c>
      <c r="I24" s="5">
        <v>1421789</v>
      </c>
      <c r="J24" s="3">
        <v>135593.5</v>
      </c>
      <c r="K24" s="3">
        <v>1286195.5</v>
      </c>
      <c r="L24" s="3">
        <v>908173.39999999991</v>
      </c>
      <c r="M24" s="3">
        <v>378022.1</v>
      </c>
      <c r="N24" s="3">
        <v>200671.06851127266</v>
      </c>
      <c r="O24" s="3">
        <f t="shared" si="1"/>
        <v>15.601910324773542</v>
      </c>
      <c r="P24" s="3">
        <v>57684</v>
      </c>
      <c r="Q24" s="3">
        <v>4293.5059999999994</v>
      </c>
      <c r="R24" s="3">
        <v>75321.458895783158</v>
      </c>
      <c r="S24" s="3">
        <v>10506.446615489487</v>
      </c>
      <c r="T24" s="3">
        <v>0</v>
      </c>
      <c r="U24" s="3">
        <v>37802.21</v>
      </c>
      <c r="V24" s="3">
        <v>15063.446999999998</v>
      </c>
      <c r="W24" s="3">
        <v>0</v>
      </c>
      <c r="X24" s="3">
        <v>177351.03148872734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177351.03148872734</v>
      </c>
      <c r="AF24" s="3">
        <v>0</v>
      </c>
      <c r="AG24" s="3">
        <v>177351.03148872734</v>
      </c>
      <c r="AH24" s="3">
        <v>177351.03148872734</v>
      </c>
      <c r="AI24" s="3">
        <v>1235000</v>
      </c>
      <c r="AJ24" s="3">
        <v>279933.33333333326</v>
      </c>
    </row>
    <row r="25" spans="1:36" x14ac:dyDescent="0.2">
      <c r="A25" s="3" t="s">
        <v>36</v>
      </c>
      <c r="B25" s="3" t="s">
        <v>37</v>
      </c>
      <c r="C25" s="3" t="s">
        <v>47</v>
      </c>
      <c r="D25" s="3">
        <v>1</v>
      </c>
      <c r="E25" s="3">
        <v>2022</v>
      </c>
      <c r="F25" s="3">
        <v>1</v>
      </c>
      <c r="G25" s="3" t="s">
        <v>48</v>
      </c>
      <c r="H25" s="3" t="s">
        <v>46</v>
      </c>
      <c r="I25" s="5">
        <v>3688256</v>
      </c>
      <c r="J25" s="3">
        <v>25438.600000000002</v>
      </c>
      <c r="K25" s="3">
        <v>3662817.4</v>
      </c>
      <c r="L25" s="3">
        <v>2609875.2460000003</v>
      </c>
      <c r="M25" s="3">
        <v>1052942.1540000001</v>
      </c>
      <c r="N25" s="3">
        <v>1228518.7241708688</v>
      </c>
      <c r="O25" s="3">
        <f t="shared" si="1"/>
        <v>33.540266685717633</v>
      </c>
      <c r="P25" s="3">
        <v>325248</v>
      </c>
      <c r="Q25" s="3">
        <v>36404.688663818684</v>
      </c>
      <c r="R25" s="3">
        <v>476828.88179095462</v>
      </c>
      <c r="S25" s="3">
        <v>135817.36518333945</v>
      </c>
      <c r="T25" s="3">
        <v>43989.890648375091</v>
      </c>
      <c r="U25" s="3">
        <v>98569.088955522384</v>
      </c>
      <c r="V25" s="3">
        <v>111660.80892885824</v>
      </c>
      <c r="W25" s="3">
        <v>0</v>
      </c>
      <c r="X25" s="3">
        <v>-175576.57017086854</v>
      </c>
      <c r="Y25" s="3">
        <v>0</v>
      </c>
      <c r="Z25" s="3">
        <v>122383.12098295701</v>
      </c>
      <c r="AA25" s="3">
        <v>-122383.12098295701</v>
      </c>
      <c r="AB25" s="3">
        <v>0</v>
      </c>
      <c r="AC25" s="3">
        <v>52467.978376140389</v>
      </c>
      <c r="AD25" s="3">
        <v>-52467.978376140389</v>
      </c>
      <c r="AE25" s="3">
        <v>-350427.66952996596</v>
      </c>
      <c r="AF25" s="3">
        <v>0</v>
      </c>
      <c r="AG25" s="3">
        <v>-350427.66952996596</v>
      </c>
      <c r="AH25" s="3">
        <v>-350427.66952996596</v>
      </c>
      <c r="AI25" s="3">
        <v>4774000.0000000009</v>
      </c>
      <c r="AJ25" s="3">
        <v>238700.00000000006</v>
      </c>
    </row>
    <row r="26" spans="1:36" x14ac:dyDescent="0.2">
      <c r="A26" s="3" t="s">
        <v>36</v>
      </c>
      <c r="B26" s="3" t="s">
        <v>37</v>
      </c>
      <c r="C26" s="3" t="s">
        <v>47</v>
      </c>
      <c r="D26" s="3">
        <v>2</v>
      </c>
      <c r="E26" s="3">
        <v>2022</v>
      </c>
      <c r="F26" s="3">
        <v>1</v>
      </c>
      <c r="G26" s="3" t="s">
        <v>42</v>
      </c>
      <c r="H26" s="3" t="s">
        <v>46</v>
      </c>
      <c r="I26" s="5">
        <v>4439085</v>
      </c>
      <c r="J26" s="3">
        <v>129334.79999999999</v>
      </c>
      <c r="K26" s="3">
        <v>4309750.2</v>
      </c>
      <c r="L26" s="3">
        <v>2722797</v>
      </c>
      <c r="M26" s="3">
        <v>1586953.2000000002</v>
      </c>
      <c r="N26" s="3">
        <v>426397.70846717758</v>
      </c>
      <c r="O26" s="3">
        <f t="shared" si="1"/>
        <v>9.89379172062403</v>
      </c>
      <c r="P26" s="3">
        <v>63756</v>
      </c>
      <c r="Q26" s="3">
        <v>3671.3040000000001</v>
      </c>
      <c r="R26" s="3">
        <v>103000.51460268913</v>
      </c>
      <c r="S26" s="3">
        <v>76658.260864488388</v>
      </c>
      <c r="T26" s="3">
        <v>0</v>
      </c>
      <c r="U26" s="3">
        <v>158833.91999999998</v>
      </c>
      <c r="V26" s="3">
        <v>20477.709000000003</v>
      </c>
      <c r="W26" s="3">
        <v>0</v>
      </c>
      <c r="X26" s="3">
        <v>1160555.4915328224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1160555.4915328224</v>
      </c>
      <c r="AF26" s="3">
        <v>0</v>
      </c>
      <c r="AG26" s="3">
        <v>1160555.4915328224</v>
      </c>
      <c r="AH26" s="3">
        <v>1160555.4915328224</v>
      </c>
      <c r="AI26" s="3">
        <v>3360000</v>
      </c>
      <c r="AJ26" s="3">
        <v>761600</v>
      </c>
    </row>
    <row r="27" spans="1:36" x14ac:dyDescent="0.2">
      <c r="A27" s="3" t="s">
        <v>36</v>
      </c>
      <c r="B27" s="3" t="s">
        <v>37</v>
      </c>
      <c r="C27" s="3" t="s">
        <v>47</v>
      </c>
      <c r="D27" s="3">
        <v>2</v>
      </c>
      <c r="E27" s="3">
        <v>2022</v>
      </c>
      <c r="F27" s="3">
        <v>1</v>
      </c>
      <c r="G27" s="3" t="s">
        <v>48</v>
      </c>
      <c r="H27" s="3" t="s">
        <v>46</v>
      </c>
      <c r="I27" s="5">
        <v>5861274</v>
      </c>
      <c r="J27" s="3">
        <v>15048.900000000001</v>
      </c>
      <c r="K27" s="3">
        <v>5846225.0999999996</v>
      </c>
      <c r="L27" s="3">
        <v>3984598.6140000001</v>
      </c>
      <c r="M27" s="3">
        <v>1861626.4859999998</v>
      </c>
      <c r="N27" s="3">
        <v>2171808.0265245102</v>
      </c>
      <c r="O27" s="3">
        <f t="shared" si="1"/>
        <v>37.148895045531354</v>
      </c>
      <c r="P27" s="3">
        <v>680064</v>
      </c>
      <c r="Q27" s="3">
        <v>63773.266419883359</v>
      </c>
      <c r="R27" s="3">
        <v>952735.26024178474</v>
      </c>
      <c r="S27" s="3">
        <v>161226.71118407868</v>
      </c>
      <c r="T27" s="3">
        <v>42835.298849506536</v>
      </c>
      <c r="U27" s="3">
        <v>179706.64835906893</v>
      </c>
      <c r="V27" s="3">
        <v>91466.841470187923</v>
      </c>
      <c r="W27" s="3">
        <v>0</v>
      </c>
      <c r="X27" s="3">
        <v>-310181.54052451008</v>
      </c>
      <c r="Y27" s="3">
        <v>0</v>
      </c>
      <c r="Z27" s="3">
        <v>270595.0322231024</v>
      </c>
      <c r="AA27" s="3">
        <v>-270595.0322231024</v>
      </c>
      <c r="AB27" s="3">
        <v>0</v>
      </c>
      <c r="AC27" s="3">
        <v>45103.196236581294</v>
      </c>
      <c r="AD27" s="3">
        <v>-45103.196236581294</v>
      </c>
      <c r="AE27" s="3">
        <v>-625879.7689841938</v>
      </c>
      <c r="AF27" s="3">
        <v>0</v>
      </c>
      <c r="AG27" s="3">
        <v>-625879.7689841938</v>
      </c>
      <c r="AH27" s="3">
        <v>-625879.7689841938</v>
      </c>
      <c r="AI27" s="3">
        <v>8555999.9999999981</v>
      </c>
      <c r="AJ27" s="3">
        <v>1378014.9531748868</v>
      </c>
    </row>
    <row r="28" spans="1:36" x14ac:dyDescent="0.2">
      <c r="A28" s="3" t="s">
        <v>36</v>
      </c>
      <c r="B28" s="3" t="s">
        <v>37</v>
      </c>
      <c r="C28" s="3" t="s">
        <v>47</v>
      </c>
      <c r="D28" s="3">
        <v>3</v>
      </c>
      <c r="E28" s="3">
        <v>2022</v>
      </c>
      <c r="F28" s="3">
        <v>1</v>
      </c>
      <c r="G28" s="3" t="s">
        <v>48</v>
      </c>
      <c r="H28" s="3" t="s">
        <v>46</v>
      </c>
      <c r="I28" s="5">
        <v>9854280</v>
      </c>
      <c r="J28" s="3">
        <v>351139.4</v>
      </c>
      <c r="K28" s="3">
        <v>9503140.6000000015</v>
      </c>
      <c r="L28" s="3">
        <v>6660115.3000000007</v>
      </c>
      <c r="M28" s="3">
        <v>2843025.3000000003</v>
      </c>
      <c r="N28" s="3">
        <v>2266590.3901625788</v>
      </c>
      <c r="O28" s="3">
        <f t="shared" si="1"/>
        <v>23.850961335482911</v>
      </c>
      <c r="P28" s="3">
        <v>591360</v>
      </c>
      <c r="Q28" s="3">
        <v>59557.215879618889</v>
      </c>
      <c r="R28" s="3">
        <v>987707.97625144722</v>
      </c>
      <c r="S28" s="3">
        <v>143719.47727929978</v>
      </c>
      <c r="T28" s="3">
        <v>107114.87522204782</v>
      </c>
      <c r="U28" s="3">
        <v>267371.78415037796</v>
      </c>
      <c r="V28" s="3">
        <v>109759.06137978725</v>
      </c>
      <c r="W28" s="3">
        <v>0</v>
      </c>
      <c r="X28" s="3">
        <v>576434.90983742115</v>
      </c>
      <c r="Y28" s="3">
        <v>0</v>
      </c>
      <c r="Z28" s="3">
        <v>205116.73202432971</v>
      </c>
      <c r="AA28" s="3">
        <v>-205116.73202432971</v>
      </c>
      <c r="AB28" s="3">
        <v>0</v>
      </c>
      <c r="AC28" s="3">
        <v>53880.929504418018</v>
      </c>
      <c r="AD28" s="3">
        <v>-53880.929504418018</v>
      </c>
      <c r="AE28" s="3">
        <v>-258997.66152874773</v>
      </c>
      <c r="AF28" s="3">
        <v>0</v>
      </c>
      <c r="AG28" s="3">
        <v>317437.24830867344</v>
      </c>
      <c r="AH28" s="3">
        <v>317437.24830867344</v>
      </c>
      <c r="AI28" s="3">
        <v>13640000</v>
      </c>
      <c r="AJ28" s="3">
        <v>1636668.9194918638</v>
      </c>
    </row>
    <row r="29" spans="1:36" x14ac:dyDescent="0.2">
      <c r="A29" s="3" t="s">
        <v>36</v>
      </c>
      <c r="B29" s="3" t="s">
        <v>37</v>
      </c>
      <c r="C29" s="3" t="s">
        <v>47</v>
      </c>
      <c r="D29" s="3">
        <v>3</v>
      </c>
      <c r="E29" s="3">
        <v>2022</v>
      </c>
      <c r="F29" s="3">
        <v>1</v>
      </c>
      <c r="G29" s="3" t="s">
        <v>39</v>
      </c>
      <c r="H29" s="3" t="s">
        <v>46</v>
      </c>
      <c r="I29" s="5">
        <v>1042209106.3616786</v>
      </c>
      <c r="J29" s="3">
        <v>0</v>
      </c>
      <c r="K29" s="3">
        <v>1042209106.3616786</v>
      </c>
      <c r="L29" s="3">
        <v>1040198190.8996124</v>
      </c>
      <c r="M29" s="3">
        <v>2010915.4620660783</v>
      </c>
      <c r="N29" s="3">
        <v>1566364.2181138904</v>
      </c>
      <c r="O29" s="3">
        <f t="shared" si="1"/>
        <v>0.15029270120101157</v>
      </c>
      <c r="P29" s="3">
        <v>245916</v>
      </c>
      <c r="Q29" s="3">
        <v>22584.744000000006</v>
      </c>
      <c r="R29" s="3">
        <v>909138.66293509933</v>
      </c>
      <c r="S29" s="3">
        <v>70564.976167894827</v>
      </c>
      <c r="T29" s="3">
        <v>79565.288804288473</v>
      </c>
      <c r="U29" s="3">
        <v>201091.54620660783</v>
      </c>
      <c r="V29" s="3">
        <v>37503.000000000007</v>
      </c>
      <c r="W29" s="3">
        <v>0</v>
      </c>
      <c r="X29" s="3">
        <v>444551.24395218794</v>
      </c>
      <c r="Y29" s="3">
        <v>1834965.7055203319</v>
      </c>
      <c r="Z29" s="3">
        <v>2165890.9667085293</v>
      </c>
      <c r="AA29" s="3">
        <v>-330925.26118819742</v>
      </c>
      <c r="AB29" s="3">
        <v>27000</v>
      </c>
      <c r="AC29" s="3">
        <v>0</v>
      </c>
      <c r="AD29" s="3">
        <v>27000</v>
      </c>
      <c r="AE29" s="3">
        <v>140625.98276399059</v>
      </c>
      <c r="AF29" s="3">
        <v>0</v>
      </c>
      <c r="AG29" s="3">
        <v>140625.98276399059</v>
      </c>
      <c r="AH29" s="3">
        <v>140625.98276399059</v>
      </c>
      <c r="AI29" s="3">
        <v>1856250000</v>
      </c>
      <c r="AJ29" s="3">
        <v>44864.048338368586</v>
      </c>
    </row>
    <row r="30" spans="1:36" x14ac:dyDescent="0.2">
      <c r="A30" s="3" t="s">
        <v>36</v>
      </c>
      <c r="B30" s="3" t="s">
        <v>37</v>
      </c>
      <c r="C30" s="3" t="s">
        <v>47</v>
      </c>
      <c r="D30" s="3">
        <v>2</v>
      </c>
      <c r="E30" s="3">
        <v>2022</v>
      </c>
      <c r="F30" s="3">
        <v>1</v>
      </c>
      <c r="G30" s="3" t="s">
        <v>39</v>
      </c>
      <c r="H30" s="3" t="s">
        <v>46</v>
      </c>
      <c r="I30" s="5">
        <v>1472625336.1674643</v>
      </c>
      <c r="J30" s="3">
        <v>0</v>
      </c>
      <c r="K30" s="3">
        <v>1472625336.1674643</v>
      </c>
      <c r="L30" s="3">
        <v>1469684291.9421899</v>
      </c>
      <c r="M30" s="3">
        <v>2941044.2252742462</v>
      </c>
      <c r="N30" s="3">
        <v>1762517.3190204499</v>
      </c>
      <c r="O30" s="3">
        <f t="shared" si="1"/>
        <v>0.11968538607433138</v>
      </c>
      <c r="P30" s="3">
        <v>236808</v>
      </c>
      <c r="Q30" s="3">
        <v>21748.272000000001</v>
      </c>
      <c r="R30" s="3">
        <v>974834.53525029891</v>
      </c>
      <c r="S30" s="3">
        <v>67951.458532046876</v>
      </c>
      <c r="T30" s="3">
        <v>133303.59871067948</v>
      </c>
      <c r="U30" s="3">
        <v>294104.42252742464</v>
      </c>
      <c r="V30" s="3">
        <v>33767.032000000007</v>
      </c>
      <c r="W30" s="3">
        <v>0</v>
      </c>
      <c r="X30" s="3">
        <v>1178526.9062537963</v>
      </c>
      <c r="Y30" s="3">
        <v>1554754.1996336658</v>
      </c>
      <c r="Z30" s="3">
        <v>1883182.4613901046</v>
      </c>
      <c r="AA30" s="3">
        <v>-328428.26175643835</v>
      </c>
      <c r="AB30" s="3">
        <v>1300</v>
      </c>
      <c r="AC30" s="3">
        <v>0</v>
      </c>
      <c r="AD30" s="3">
        <v>1300</v>
      </c>
      <c r="AE30" s="3">
        <v>851398.64449735801</v>
      </c>
      <c r="AF30" s="3">
        <v>0</v>
      </c>
      <c r="AG30" s="3">
        <v>851398.64449735801</v>
      </c>
      <c r="AH30" s="3">
        <v>851398.64449735801</v>
      </c>
      <c r="AI30" s="3">
        <v>1820000000</v>
      </c>
      <c r="AJ30" s="3">
        <v>43987.915407854991</v>
      </c>
    </row>
    <row r="31" spans="1:36" x14ac:dyDescent="0.2">
      <c r="A31" s="3" t="s">
        <v>36</v>
      </c>
      <c r="B31" s="3" t="s">
        <v>37</v>
      </c>
      <c r="C31" s="3" t="s">
        <v>47</v>
      </c>
      <c r="D31" s="3">
        <v>1</v>
      </c>
      <c r="E31" s="3">
        <v>2022</v>
      </c>
      <c r="F31" s="3">
        <v>1</v>
      </c>
      <c r="G31" s="3" t="s">
        <v>39</v>
      </c>
      <c r="H31" s="3" t="s">
        <v>46</v>
      </c>
      <c r="I31" s="5">
        <v>1529092146.5013175</v>
      </c>
      <c r="J31" s="3">
        <v>0</v>
      </c>
      <c r="K31" s="3">
        <v>1529092146.5013175</v>
      </c>
      <c r="L31" s="3">
        <v>1527417681.156461</v>
      </c>
      <c r="M31" s="3">
        <v>1674465.3448569563</v>
      </c>
      <c r="N31" s="3">
        <v>1545106.3402634298</v>
      </c>
      <c r="O31" s="3">
        <f t="shared" si="1"/>
        <v>0.10104730076593187</v>
      </c>
      <c r="P31" s="3">
        <v>264132</v>
      </c>
      <c r="Q31" s="3">
        <v>93925.519</v>
      </c>
      <c r="R31" s="3">
        <v>747373.21650986024</v>
      </c>
      <c r="S31" s="3">
        <v>75792.011439590729</v>
      </c>
      <c r="T31" s="3">
        <v>127462.2698282831</v>
      </c>
      <c r="U31" s="3">
        <v>167446.53448569562</v>
      </c>
      <c r="V31" s="3">
        <v>68974.78899999999</v>
      </c>
      <c r="W31" s="3">
        <v>0</v>
      </c>
      <c r="X31" s="3">
        <v>129359.0045935266</v>
      </c>
      <c r="Y31" s="3">
        <v>1223367.5776701109</v>
      </c>
      <c r="Z31" s="3">
        <v>1660382.666543104</v>
      </c>
      <c r="AA31" s="3">
        <v>-437015.08887299325</v>
      </c>
      <c r="AB31" s="3">
        <v>12470</v>
      </c>
      <c r="AC31" s="3">
        <v>0</v>
      </c>
      <c r="AD31" s="3">
        <v>12470</v>
      </c>
      <c r="AE31" s="3">
        <v>-295186.0842794666</v>
      </c>
      <c r="AF31" s="3">
        <v>0</v>
      </c>
      <c r="AG31" s="3">
        <v>-295186.0842794666</v>
      </c>
      <c r="AH31" s="3">
        <v>-295186.0842794666</v>
      </c>
      <c r="AI31" s="3">
        <v>2175000000</v>
      </c>
      <c r="AJ31" s="3">
        <v>52567.975830815703</v>
      </c>
    </row>
    <row r="32" spans="1:36" x14ac:dyDescent="0.2">
      <c r="A32" s="3" t="s">
        <v>36</v>
      </c>
      <c r="B32" s="3" t="s">
        <v>37</v>
      </c>
      <c r="C32" s="3" t="s">
        <v>49</v>
      </c>
      <c r="D32" s="3">
        <v>3</v>
      </c>
      <c r="E32" s="3">
        <v>2022</v>
      </c>
      <c r="F32" s="3">
        <v>1</v>
      </c>
      <c r="G32" s="3" t="s">
        <v>42</v>
      </c>
      <c r="H32" s="3" t="s">
        <v>46</v>
      </c>
      <c r="I32" s="5">
        <v>307874</v>
      </c>
      <c r="J32" s="3">
        <v>14319.2</v>
      </c>
      <c r="K32" s="3">
        <v>293554.8</v>
      </c>
      <c r="L32" s="3">
        <v>184724.4</v>
      </c>
      <c r="M32" s="3">
        <v>108830.40000000001</v>
      </c>
      <c r="N32" s="3">
        <v>193502.03077443552</v>
      </c>
      <c r="O32" s="3">
        <f t="shared" si="1"/>
        <v>65.916834190561886</v>
      </c>
      <c r="P32" s="3">
        <v>46323.199999999997</v>
      </c>
      <c r="Q32" s="3">
        <v>2266.4740000000002</v>
      </c>
      <c r="R32" s="3">
        <v>51520.963298070666</v>
      </c>
      <c r="S32" s="3">
        <v>79064.353476364864</v>
      </c>
      <c r="T32" s="3">
        <v>0</v>
      </c>
      <c r="U32" s="3">
        <v>10883.04</v>
      </c>
      <c r="V32" s="3">
        <v>3444</v>
      </c>
      <c r="W32" s="3">
        <v>0</v>
      </c>
      <c r="X32" s="3">
        <v>-84671.630774435529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-84671.630774435529</v>
      </c>
      <c r="AF32" s="3">
        <v>0</v>
      </c>
      <c r="AG32" s="3">
        <v>-84671.630774435529</v>
      </c>
      <c r="AH32" s="3">
        <v>-84671.630774435529</v>
      </c>
      <c r="AI32" s="3">
        <v>140000</v>
      </c>
      <c r="AJ32" s="3">
        <v>31733.333333333328</v>
      </c>
    </row>
    <row r="33" spans="1:36" x14ac:dyDescent="0.2">
      <c r="A33" s="3" t="s">
        <v>36</v>
      </c>
      <c r="B33" s="3" t="s">
        <v>37</v>
      </c>
      <c r="C33" s="3" t="s">
        <v>49</v>
      </c>
      <c r="D33" s="3">
        <v>1</v>
      </c>
      <c r="E33" s="3">
        <v>2022</v>
      </c>
      <c r="F33" s="3">
        <v>1</v>
      </c>
      <c r="G33" s="3" t="s">
        <v>42</v>
      </c>
      <c r="H33" s="3" t="s">
        <v>46</v>
      </c>
      <c r="I33" s="5">
        <v>1870275</v>
      </c>
      <c r="J33" s="3">
        <v>187027.5</v>
      </c>
      <c r="K33" s="3">
        <v>1683247.5</v>
      </c>
      <c r="L33" s="3">
        <v>1181665</v>
      </c>
      <c r="M33" s="3">
        <v>501582.5</v>
      </c>
      <c r="N33" s="3">
        <v>247611.67044379396</v>
      </c>
      <c r="O33" s="3">
        <f t="shared" si="1"/>
        <v>14.710354267200396</v>
      </c>
      <c r="P33" s="3">
        <v>82720</v>
      </c>
      <c r="Q33" s="3">
        <v>2536.6464587394412</v>
      </c>
      <c r="R33" s="3">
        <v>88249.303491545812</v>
      </c>
      <c r="S33" s="3">
        <v>20941.220493508692</v>
      </c>
      <c r="T33" s="3">
        <v>0</v>
      </c>
      <c r="U33" s="3">
        <v>50158.25</v>
      </c>
      <c r="V33" s="3">
        <v>3006.25</v>
      </c>
      <c r="W33" s="3">
        <v>0</v>
      </c>
      <c r="X33" s="3">
        <v>253970.82955620604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253970.82955620604</v>
      </c>
      <c r="AF33" s="3">
        <v>0</v>
      </c>
      <c r="AG33" s="3">
        <v>253970.82955620604</v>
      </c>
      <c r="AH33" s="3">
        <v>253970.82955620604</v>
      </c>
      <c r="AI33" s="3">
        <v>1625000</v>
      </c>
      <c r="AJ33" s="3">
        <v>368333.33333333326</v>
      </c>
    </row>
    <row r="34" spans="1:36" x14ac:dyDescent="0.2">
      <c r="A34" s="3" t="s">
        <v>36</v>
      </c>
      <c r="B34" s="3" t="s">
        <v>37</v>
      </c>
      <c r="C34" s="3" t="s">
        <v>49</v>
      </c>
      <c r="D34" s="3">
        <v>2</v>
      </c>
      <c r="E34" s="3">
        <v>2022</v>
      </c>
      <c r="F34" s="3">
        <v>1</v>
      </c>
      <c r="G34" s="3" t="s">
        <v>42</v>
      </c>
      <c r="H34" s="3" t="s">
        <v>46</v>
      </c>
      <c r="I34" s="5">
        <v>3017412</v>
      </c>
      <c r="J34" s="3">
        <v>73197</v>
      </c>
      <c r="K34" s="3">
        <v>2944215</v>
      </c>
      <c r="L34" s="3">
        <v>1860127.2</v>
      </c>
      <c r="M34" s="3">
        <v>1084087.8</v>
      </c>
      <c r="N34" s="3">
        <v>410677.68575068749</v>
      </c>
      <c r="O34" s="3">
        <f t="shared" si="1"/>
        <v>13.948630984852922</v>
      </c>
      <c r="P34" s="3">
        <v>89337.600000000006</v>
      </c>
      <c r="Q34" s="3">
        <v>1652.1030000000001</v>
      </c>
      <c r="R34" s="3">
        <v>108465.58361769808</v>
      </c>
      <c r="S34" s="3">
        <v>96165.868132989388</v>
      </c>
      <c r="T34" s="3">
        <v>0</v>
      </c>
      <c r="U34" s="3">
        <v>108408.78</v>
      </c>
      <c r="V34" s="3">
        <v>6647.7510000000002</v>
      </c>
      <c r="W34" s="3">
        <v>0</v>
      </c>
      <c r="X34" s="3">
        <v>673410.11424931255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673410.11424931255</v>
      </c>
      <c r="AF34" s="3">
        <v>0</v>
      </c>
      <c r="AG34" s="3">
        <v>673410.11424931255</v>
      </c>
      <c r="AH34" s="3">
        <v>673410.11424931255</v>
      </c>
      <c r="AI34" s="3">
        <v>2700000</v>
      </c>
      <c r="AJ34" s="3">
        <v>612000</v>
      </c>
    </row>
    <row r="35" spans="1:36" x14ac:dyDescent="0.2">
      <c r="A35" s="3" t="s">
        <v>36</v>
      </c>
      <c r="B35" s="3" t="s">
        <v>37</v>
      </c>
      <c r="C35" s="3" t="s">
        <v>49</v>
      </c>
      <c r="D35" s="3">
        <v>1</v>
      </c>
      <c r="E35" s="3">
        <v>2022</v>
      </c>
      <c r="F35" s="3">
        <v>1</v>
      </c>
      <c r="G35" s="3" t="s">
        <v>48</v>
      </c>
      <c r="H35" s="3" t="s">
        <v>46</v>
      </c>
      <c r="I35" s="5">
        <v>10673064</v>
      </c>
      <c r="J35" s="3">
        <v>258504</v>
      </c>
      <c r="K35" s="3">
        <v>10414560</v>
      </c>
      <c r="L35" s="3">
        <v>7269290.5439999998</v>
      </c>
      <c r="M35" s="3">
        <v>3145269.4559999998</v>
      </c>
      <c r="N35" s="3">
        <v>2267652.3119889861</v>
      </c>
      <c r="O35" s="3">
        <f t="shared" si="1"/>
        <v>21.773865741701869</v>
      </c>
      <c r="P35" s="3">
        <v>516172.79999999999</v>
      </c>
      <c r="Q35" s="3">
        <v>139660.25996315034</v>
      </c>
      <c r="R35" s="3">
        <v>688586.72434677265</v>
      </c>
      <c r="S35" s="3">
        <v>350332.7410205995</v>
      </c>
      <c r="T35" s="3">
        <v>127297.81182301577</v>
      </c>
      <c r="U35" s="3">
        <v>285238.92995605059</v>
      </c>
      <c r="V35" s="3">
        <v>160363.04487939755</v>
      </c>
      <c r="W35" s="3">
        <v>0</v>
      </c>
      <c r="X35" s="3">
        <v>877617.14401101344</v>
      </c>
      <c r="Y35" s="3">
        <v>0</v>
      </c>
      <c r="Z35" s="3">
        <v>285860.61796915508</v>
      </c>
      <c r="AA35" s="3">
        <v>-285860.61796915508</v>
      </c>
      <c r="AB35" s="3">
        <v>0</v>
      </c>
      <c r="AC35" s="3">
        <v>58026.547807734154</v>
      </c>
      <c r="AD35" s="3">
        <v>-58026.547807734154</v>
      </c>
      <c r="AE35" s="3">
        <v>533729.97823412425</v>
      </c>
      <c r="AF35" s="3">
        <v>0</v>
      </c>
      <c r="AG35" s="3">
        <v>533729.97823412425</v>
      </c>
      <c r="AH35" s="3">
        <v>533729.97823412425</v>
      </c>
      <c r="AI35" s="3">
        <v>11760000</v>
      </c>
      <c r="AJ35" s="3">
        <v>1908482.8184473629</v>
      </c>
    </row>
    <row r="36" spans="1:36" x14ac:dyDescent="0.2">
      <c r="A36" s="3" t="s">
        <v>36</v>
      </c>
      <c r="B36" s="3" t="s">
        <v>37</v>
      </c>
      <c r="C36" s="3" t="s">
        <v>49</v>
      </c>
      <c r="D36" s="3">
        <v>2</v>
      </c>
      <c r="E36" s="3">
        <v>2022</v>
      </c>
      <c r="F36" s="3">
        <v>1</v>
      </c>
      <c r="G36" s="3" t="s">
        <v>48</v>
      </c>
      <c r="H36" s="3" t="s">
        <v>46</v>
      </c>
      <c r="I36" s="5">
        <v>31854366</v>
      </c>
      <c r="J36" s="3">
        <v>32364</v>
      </c>
      <c r="K36" s="3">
        <v>31822002</v>
      </c>
      <c r="L36" s="3">
        <v>21263234.778000001</v>
      </c>
      <c r="M36" s="3">
        <v>10558767.221999999</v>
      </c>
      <c r="N36" s="3">
        <v>3926825.8768282011</v>
      </c>
      <c r="O36" s="3">
        <f t="shared" si="1"/>
        <v>12.339971183548418</v>
      </c>
      <c r="P36" s="3">
        <v>774259.19999999995</v>
      </c>
      <c r="Q36" s="3">
        <v>188589.01764952071</v>
      </c>
      <c r="R36" s="3">
        <v>1302638.8720871662</v>
      </c>
      <c r="S36" s="3">
        <v>352206.16938187828</v>
      </c>
      <c r="T36" s="3">
        <v>232797.73088095867</v>
      </c>
      <c r="U36" s="3">
        <v>976654.79372967046</v>
      </c>
      <c r="V36" s="3">
        <v>99680.093099006306</v>
      </c>
      <c r="W36" s="3">
        <v>0</v>
      </c>
      <c r="X36" s="3">
        <v>6631941.345171799</v>
      </c>
      <c r="Y36" s="3">
        <v>0</v>
      </c>
      <c r="Z36" s="3">
        <v>518504.92323028744</v>
      </c>
      <c r="AA36" s="3">
        <v>-518504.92323028744</v>
      </c>
      <c r="AB36" s="3">
        <v>0</v>
      </c>
      <c r="AC36" s="3">
        <v>64665.492022758779</v>
      </c>
      <c r="AD36" s="3">
        <v>-64665.492022758779</v>
      </c>
      <c r="AE36" s="3">
        <v>6048770.929918753</v>
      </c>
      <c r="AF36" s="3">
        <v>0</v>
      </c>
      <c r="AG36" s="3">
        <v>6048770.929918753</v>
      </c>
      <c r="AH36" s="3">
        <v>6048770.929918753</v>
      </c>
      <c r="AI36" s="3">
        <v>15120000</v>
      </c>
      <c r="AJ36" s="3">
        <v>2135051.4697415214</v>
      </c>
    </row>
    <row r="37" spans="1:36" x14ac:dyDescent="0.2">
      <c r="A37" s="3" t="s">
        <v>36</v>
      </c>
      <c r="B37" s="3" t="s">
        <v>37</v>
      </c>
      <c r="C37" s="3" t="s">
        <v>49</v>
      </c>
      <c r="D37" s="3">
        <v>3</v>
      </c>
      <c r="E37" s="3">
        <v>2022</v>
      </c>
      <c r="F37" s="3">
        <v>1</v>
      </c>
      <c r="G37" s="3" t="s">
        <v>48</v>
      </c>
      <c r="H37" s="3" t="s">
        <v>46</v>
      </c>
      <c r="I37" s="5">
        <v>53804314</v>
      </c>
      <c r="J37" s="3">
        <v>3514120.55</v>
      </c>
      <c r="K37" s="3">
        <v>50290193.449999996</v>
      </c>
      <c r="L37" s="3">
        <v>34580703.572999999</v>
      </c>
      <c r="M37" s="3">
        <v>15709489.876999997</v>
      </c>
      <c r="N37" s="3">
        <v>5857808.2934391787</v>
      </c>
      <c r="O37" s="3">
        <f t="shared" si="1"/>
        <v>11.64801304505457</v>
      </c>
      <c r="P37" s="3">
        <v>989331.19999999984</v>
      </c>
      <c r="Q37" s="3">
        <v>266443.12525072298</v>
      </c>
      <c r="R37" s="3">
        <v>1811172.8089153315</v>
      </c>
      <c r="S37" s="3">
        <v>514261.20395357715</v>
      </c>
      <c r="T37" s="3">
        <v>584846.62304276705</v>
      </c>
      <c r="U37" s="3">
        <v>1459848.4545971048</v>
      </c>
      <c r="V37" s="3">
        <v>231904.87767967518</v>
      </c>
      <c r="W37" s="3">
        <v>0</v>
      </c>
      <c r="X37" s="3">
        <v>9851681.5835608188</v>
      </c>
      <c r="Y37" s="3">
        <v>0</v>
      </c>
      <c r="Z37" s="3">
        <v>567435.77687229135</v>
      </c>
      <c r="AA37" s="3">
        <v>-567435.77687229135</v>
      </c>
      <c r="AB37" s="3">
        <v>0</v>
      </c>
      <c r="AC37" s="3">
        <v>153764.95916239149</v>
      </c>
      <c r="AD37" s="3">
        <v>-153764.95916239149</v>
      </c>
      <c r="AE37" s="3">
        <v>-721200.7360346826</v>
      </c>
      <c r="AF37" s="3">
        <v>0</v>
      </c>
      <c r="AG37" s="3">
        <v>9130480.8475261368</v>
      </c>
      <c r="AH37" s="3">
        <v>9130480.8475261368</v>
      </c>
      <c r="AI37" s="3">
        <v>36799999.999999993</v>
      </c>
      <c r="AJ37" s="3">
        <v>7762342.1973045059</v>
      </c>
    </row>
    <row r="38" spans="1:36" x14ac:dyDescent="0.2">
      <c r="A38" s="3" t="s">
        <v>36</v>
      </c>
      <c r="B38" s="3" t="s">
        <v>37</v>
      </c>
      <c r="C38" s="3" t="s">
        <v>49</v>
      </c>
      <c r="D38" s="3">
        <v>2</v>
      </c>
      <c r="E38" s="3">
        <v>2022</v>
      </c>
      <c r="F38" s="3">
        <v>1</v>
      </c>
      <c r="G38" s="3" t="s">
        <v>39</v>
      </c>
      <c r="H38" s="3" t="s">
        <v>46</v>
      </c>
      <c r="I38" s="5">
        <v>752287375.56596613</v>
      </c>
      <c r="J38" s="3">
        <v>0</v>
      </c>
      <c r="K38" s="3">
        <v>752287375.56596613</v>
      </c>
      <c r="L38" s="3">
        <v>750577516.93866313</v>
      </c>
      <c r="M38" s="3">
        <v>1709858.6273028564</v>
      </c>
      <c r="N38" s="3">
        <v>908738.19344308518</v>
      </c>
      <c r="O38" s="3">
        <f t="shared" si="1"/>
        <v>0.1207966826187156</v>
      </c>
      <c r="P38" s="3">
        <v>95293.439999999988</v>
      </c>
      <c r="Q38" s="3">
        <v>18804.416000000001</v>
      </c>
      <c r="R38" s="3">
        <v>518805.5971734646</v>
      </c>
      <c r="S38" s="3">
        <v>23528.118813063793</v>
      </c>
      <c r="T38" s="3">
        <v>68097.846726271324</v>
      </c>
      <c r="U38" s="3">
        <v>170985.86273028562</v>
      </c>
      <c r="V38" s="3">
        <v>13222.912</v>
      </c>
      <c r="W38" s="3">
        <v>0</v>
      </c>
      <c r="X38" s="3">
        <v>801120.43385977135</v>
      </c>
      <c r="Y38" s="3">
        <v>794242.72268500971</v>
      </c>
      <c r="Z38" s="3">
        <v>962019.56926667597</v>
      </c>
      <c r="AA38" s="3">
        <v>-167776.84658166626</v>
      </c>
      <c r="AB38" s="3">
        <v>4240</v>
      </c>
      <c r="AC38" s="3">
        <v>0</v>
      </c>
      <c r="AD38" s="3">
        <v>4240</v>
      </c>
      <c r="AE38" s="3">
        <v>637583.58727810509</v>
      </c>
      <c r="AF38" s="3">
        <v>0</v>
      </c>
      <c r="AG38" s="3">
        <v>637583.58727810509</v>
      </c>
      <c r="AH38" s="3">
        <v>637583.58727810509</v>
      </c>
      <c r="AI38" s="3">
        <v>880000000</v>
      </c>
      <c r="AJ38" s="3">
        <v>52833.020637898691</v>
      </c>
    </row>
    <row r="39" spans="1:36" x14ac:dyDescent="0.2">
      <c r="A39" s="3" t="s">
        <v>36</v>
      </c>
      <c r="B39" s="3" t="s">
        <v>37</v>
      </c>
      <c r="C39" s="3" t="s">
        <v>49</v>
      </c>
      <c r="D39" s="3">
        <v>3</v>
      </c>
      <c r="E39" s="3">
        <v>2022</v>
      </c>
      <c r="F39" s="3">
        <v>1</v>
      </c>
      <c r="G39" s="3" t="s">
        <v>39</v>
      </c>
      <c r="H39" s="3" t="s">
        <v>46</v>
      </c>
      <c r="I39" s="5">
        <v>971006239.16759372</v>
      </c>
      <c r="J39" s="3">
        <v>0</v>
      </c>
      <c r="K39" s="3">
        <v>971006239.16759372</v>
      </c>
      <c r="L39" s="3">
        <v>968961458.11774325</v>
      </c>
      <c r="M39" s="3">
        <v>2044781.049850418</v>
      </c>
      <c r="N39" s="3">
        <v>1294123.1302442865</v>
      </c>
      <c r="O39" s="3">
        <f t="shared" si="1"/>
        <v>0.13327649998971053</v>
      </c>
      <c r="P39" s="3">
        <v>136984.31999999998</v>
      </c>
      <c r="Q39" s="3">
        <v>27031.347999999998</v>
      </c>
      <c r="R39" s="3">
        <v>800770.40361733898</v>
      </c>
      <c r="S39" s="3">
        <v>33821.670793779194</v>
      </c>
      <c r="T39" s="3">
        <v>74129.453848126883</v>
      </c>
      <c r="U39" s="3">
        <v>204478.10498504178</v>
      </c>
      <c r="V39" s="3">
        <v>16907.828999999998</v>
      </c>
      <c r="W39" s="3">
        <v>0</v>
      </c>
      <c r="X39" s="3">
        <v>750657.91960613127</v>
      </c>
      <c r="Y39" s="3">
        <v>1709602.3608341815</v>
      </c>
      <c r="Z39" s="3">
        <v>2017919.0809151065</v>
      </c>
      <c r="AA39" s="3">
        <v>-308316.72008092509</v>
      </c>
      <c r="AB39" s="3">
        <v>12995</v>
      </c>
      <c r="AC39" s="3">
        <v>0</v>
      </c>
      <c r="AD39" s="3">
        <v>12995</v>
      </c>
      <c r="AE39" s="3">
        <v>455336.19952520618</v>
      </c>
      <c r="AF39" s="3">
        <v>0</v>
      </c>
      <c r="AG39" s="3">
        <v>455336.19952520618</v>
      </c>
      <c r="AH39" s="3">
        <v>455336.19952520618</v>
      </c>
      <c r="AI39" s="3">
        <v>1523750000</v>
      </c>
      <c r="AJ39" s="3">
        <v>91482.17636022513</v>
      </c>
    </row>
    <row r="40" spans="1:36" x14ac:dyDescent="0.2">
      <c r="A40" s="3" t="s">
        <v>36</v>
      </c>
      <c r="B40" s="3" t="s">
        <v>37</v>
      </c>
      <c r="C40" s="3" t="s">
        <v>49</v>
      </c>
      <c r="D40" s="3">
        <v>1</v>
      </c>
      <c r="E40" s="3">
        <v>2022</v>
      </c>
      <c r="F40" s="3">
        <v>1</v>
      </c>
      <c r="G40" s="3" t="s">
        <v>39</v>
      </c>
      <c r="H40" s="3" t="s">
        <v>46</v>
      </c>
      <c r="I40" s="5">
        <v>1206358767.3684864</v>
      </c>
      <c r="J40" s="3">
        <v>0</v>
      </c>
      <c r="K40" s="3">
        <v>1206358767.3684864</v>
      </c>
      <c r="L40" s="3">
        <v>1205037718.1733513</v>
      </c>
      <c r="M40" s="3">
        <v>1321049.1951350328</v>
      </c>
      <c r="N40" s="3">
        <v>1396991.4789779775</v>
      </c>
      <c r="O40" s="3">
        <f t="shared" si="1"/>
        <v>0.11580232321976086</v>
      </c>
      <c r="P40" s="3">
        <v>160807.68000000002</v>
      </c>
      <c r="Q40" s="3">
        <v>103603.53715789475</v>
      </c>
      <c r="R40" s="3">
        <v>852229.27462136582</v>
      </c>
      <c r="S40" s="3">
        <v>39703.700497045145</v>
      </c>
      <c r="T40" s="3">
        <v>100559.81718816869</v>
      </c>
      <c r="U40" s="3">
        <v>132104.91951350329</v>
      </c>
      <c r="V40" s="3">
        <v>7982.55</v>
      </c>
      <c r="W40" s="3">
        <v>0</v>
      </c>
      <c r="X40" s="3">
        <v>-75942.283842944977</v>
      </c>
      <c r="Y40" s="3">
        <v>965161.06397739192</v>
      </c>
      <c r="Z40" s="3">
        <v>1309938.8362918475</v>
      </c>
      <c r="AA40" s="3">
        <v>-344777.77231445559</v>
      </c>
      <c r="AB40" s="3">
        <v>4185</v>
      </c>
      <c r="AC40" s="3">
        <v>0</v>
      </c>
      <c r="AD40" s="3">
        <v>4185</v>
      </c>
      <c r="AE40" s="3">
        <v>-416535.05615740054</v>
      </c>
      <c r="AF40" s="3">
        <v>0</v>
      </c>
      <c r="AG40" s="3">
        <v>-416535.05615740054</v>
      </c>
      <c r="AH40" s="3">
        <v>-416535.05615740054</v>
      </c>
      <c r="AI40" s="3">
        <v>1755000000</v>
      </c>
      <c r="AJ40" s="3">
        <v>105365.85365853659</v>
      </c>
    </row>
    <row r="41" spans="1:36" x14ac:dyDescent="0.2">
      <c r="A41" s="3" t="s">
        <v>36</v>
      </c>
      <c r="B41" s="3" t="s">
        <v>37</v>
      </c>
      <c r="C41" s="3" t="s">
        <v>50</v>
      </c>
      <c r="D41" s="3">
        <v>3</v>
      </c>
      <c r="E41" s="3">
        <v>2022</v>
      </c>
      <c r="F41" s="3">
        <v>1</v>
      </c>
      <c r="G41" s="3" t="s">
        <v>42</v>
      </c>
      <c r="H41" s="3" t="s">
        <v>46</v>
      </c>
      <c r="I41" s="5">
        <v>587120</v>
      </c>
      <c r="J41" s="3">
        <v>25036</v>
      </c>
      <c r="K41" s="3">
        <v>562084</v>
      </c>
      <c r="L41" s="3">
        <v>352272</v>
      </c>
      <c r="M41" s="3">
        <v>209812</v>
      </c>
      <c r="N41" s="3">
        <v>717216.38177453203</v>
      </c>
      <c r="O41" s="3">
        <f t="shared" si="1"/>
        <v>127.59950145788387</v>
      </c>
      <c r="P41" s="3">
        <v>80472.268800000005</v>
      </c>
      <c r="Q41" s="3">
        <v>6488.66</v>
      </c>
      <c r="R41" s="3">
        <v>82572.863625233658</v>
      </c>
      <c r="S41" s="3">
        <v>518175.10934929841</v>
      </c>
      <c r="T41" s="3">
        <v>0</v>
      </c>
      <c r="U41" s="3">
        <v>20981.199999999997</v>
      </c>
      <c r="V41" s="3">
        <v>8526.2800000000007</v>
      </c>
      <c r="W41" s="3">
        <v>0</v>
      </c>
      <c r="X41" s="3">
        <v>-507404.38177453208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-507404.38177453208</v>
      </c>
      <c r="AF41" s="3">
        <v>0</v>
      </c>
      <c r="AG41" s="3">
        <v>-507404.38177453208</v>
      </c>
      <c r="AH41" s="3">
        <v>-507404.38177453208</v>
      </c>
      <c r="AI41" s="3">
        <v>600000</v>
      </c>
      <c r="AJ41" s="3">
        <v>136000</v>
      </c>
    </row>
    <row r="42" spans="1:36" x14ac:dyDescent="0.2">
      <c r="A42" s="3" t="s">
        <v>36</v>
      </c>
      <c r="B42" s="3" t="s">
        <v>37</v>
      </c>
      <c r="C42" s="3" t="s">
        <v>50</v>
      </c>
      <c r="D42" s="3">
        <v>1</v>
      </c>
      <c r="E42" s="3">
        <v>2022</v>
      </c>
      <c r="F42" s="3">
        <v>1</v>
      </c>
      <c r="G42" s="3" t="s">
        <v>42</v>
      </c>
      <c r="H42" s="3" t="s">
        <v>46</v>
      </c>
      <c r="I42" s="5">
        <v>2424344</v>
      </c>
      <c r="J42" s="3">
        <v>59181.2</v>
      </c>
      <c r="K42" s="3">
        <v>2365162.7999999998</v>
      </c>
      <c r="L42" s="3">
        <v>1462406.4000000001</v>
      </c>
      <c r="M42" s="3">
        <v>902756.4</v>
      </c>
      <c r="N42" s="3">
        <v>375091.46950819128</v>
      </c>
      <c r="O42" s="3">
        <f t="shared" si="1"/>
        <v>15.859012728772468</v>
      </c>
      <c r="P42" s="3">
        <v>104613.94944</v>
      </c>
      <c r="Q42" s="3">
        <v>33643.746453790242</v>
      </c>
      <c r="R42" s="3">
        <v>124881.531460313</v>
      </c>
      <c r="S42" s="3">
        <v>21676.602154087966</v>
      </c>
      <c r="T42" s="3">
        <v>0</v>
      </c>
      <c r="U42" s="3">
        <v>90275.64</v>
      </c>
      <c r="V42" s="3">
        <v>0</v>
      </c>
      <c r="W42" s="3">
        <v>0</v>
      </c>
      <c r="X42" s="3">
        <v>527664.93049180869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527664.93049180869</v>
      </c>
      <c r="AF42" s="3">
        <v>0</v>
      </c>
      <c r="AG42" s="3">
        <v>527664.93049180869</v>
      </c>
      <c r="AH42" s="3">
        <v>527664.93049180869</v>
      </c>
      <c r="AI42" s="3">
        <v>2210000</v>
      </c>
      <c r="AJ42" s="3">
        <v>500933.33333333326</v>
      </c>
    </row>
    <row r="43" spans="1:36" x14ac:dyDescent="0.2">
      <c r="A43" s="3" t="s">
        <v>36</v>
      </c>
      <c r="B43" s="3" t="s">
        <v>37</v>
      </c>
      <c r="C43" s="3" t="s">
        <v>50</v>
      </c>
      <c r="D43" s="3">
        <v>2</v>
      </c>
      <c r="E43" s="3">
        <v>2022</v>
      </c>
      <c r="F43" s="3">
        <v>1</v>
      </c>
      <c r="G43" s="3" t="s">
        <v>42</v>
      </c>
      <c r="H43" s="3" t="s">
        <v>46</v>
      </c>
      <c r="I43" s="5">
        <v>10440480</v>
      </c>
      <c r="J43" s="3">
        <v>634992</v>
      </c>
      <c r="K43" s="3">
        <v>9805488</v>
      </c>
      <c r="L43" s="3">
        <v>6906528</v>
      </c>
      <c r="M43" s="3">
        <v>2898960</v>
      </c>
      <c r="N43" s="3">
        <v>664244.78801928123</v>
      </c>
      <c r="O43" s="3">
        <f t="shared" si="1"/>
        <v>6.7742144809037672</v>
      </c>
      <c r="P43" s="3">
        <v>96566.722559999995</v>
      </c>
      <c r="Q43" s="3">
        <v>3546.2159999999999</v>
      </c>
      <c r="R43" s="3">
        <v>148536.15024012307</v>
      </c>
      <c r="S43" s="3">
        <v>116587.33121915811</v>
      </c>
      <c r="T43" s="3">
        <v>0</v>
      </c>
      <c r="U43" s="3">
        <v>289896</v>
      </c>
      <c r="V43" s="3">
        <v>9112.3679999999986</v>
      </c>
      <c r="W43" s="3">
        <v>0</v>
      </c>
      <c r="X43" s="3">
        <v>2234715.2119807187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2234715.2119807187</v>
      </c>
      <c r="AF43" s="3">
        <v>0</v>
      </c>
      <c r="AG43" s="3">
        <v>2234715.2119807187</v>
      </c>
      <c r="AH43" s="3">
        <v>2234715.2119807187</v>
      </c>
      <c r="AI43" s="3">
        <v>960000</v>
      </c>
      <c r="AJ43" s="3">
        <v>217599.99999999997</v>
      </c>
    </row>
    <row r="44" spans="1:36" x14ac:dyDescent="0.2">
      <c r="A44" s="3" t="s">
        <v>36</v>
      </c>
      <c r="B44" s="3" t="s">
        <v>37</v>
      </c>
      <c r="C44" s="3" t="s">
        <v>50</v>
      </c>
      <c r="D44" s="3">
        <v>2</v>
      </c>
      <c r="E44" s="3">
        <v>2022</v>
      </c>
      <c r="F44" s="3">
        <v>1</v>
      </c>
      <c r="G44" s="3" t="s">
        <v>48</v>
      </c>
      <c r="H44" s="3" t="s">
        <v>46</v>
      </c>
      <c r="I44" s="5">
        <v>27187908.084999997</v>
      </c>
      <c r="J44" s="3">
        <v>389480</v>
      </c>
      <c r="K44" s="3">
        <v>26798428.084999997</v>
      </c>
      <c r="L44" s="3">
        <v>17580004.442000002</v>
      </c>
      <c r="M44" s="3">
        <v>9218423.6429999992</v>
      </c>
      <c r="N44" s="3">
        <v>3437179.3072856525</v>
      </c>
      <c r="O44" s="3">
        <f t="shared" si="1"/>
        <v>12.826048215900993</v>
      </c>
      <c r="P44" s="3">
        <v>719220.9023999999</v>
      </c>
      <c r="Q44" s="3">
        <v>226592.18771330261</v>
      </c>
      <c r="R44" s="3">
        <v>976796.18214983819</v>
      </c>
      <c r="S44" s="3">
        <v>345742.98950062896</v>
      </c>
      <c r="T44" s="3">
        <v>198694.37393882114</v>
      </c>
      <c r="U44" s="3">
        <v>833581.20399247366</v>
      </c>
      <c r="V44" s="3">
        <v>136551.46759058861</v>
      </c>
      <c r="W44" s="3">
        <v>0</v>
      </c>
      <c r="X44" s="3">
        <v>5781244.3357143467</v>
      </c>
      <c r="Y44" s="3">
        <v>0</v>
      </c>
      <c r="Z44" s="3">
        <v>569783.94514640176</v>
      </c>
      <c r="AA44" s="3">
        <v>-569783.94514640176</v>
      </c>
      <c r="AB44" s="3">
        <v>0</v>
      </c>
      <c r="AC44" s="3">
        <v>75084.075679436864</v>
      </c>
      <c r="AD44" s="3">
        <v>-75084.075679436864</v>
      </c>
      <c r="AE44" s="3">
        <v>5136376.3148885081</v>
      </c>
      <c r="AF44" s="3">
        <v>0</v>
      </c>
      <c r="AG44" s="3">
        <v>5136376.3148885081</v>
      </c>
      <c r="AH44" s="3">
        <v>5136376.3148885081</v>
      </c>
      <c r="AI44" s="3">
        <v>24960000</v>
      </c>
      <c r="AJ44" s="3">
        <v>5535963.6422490738</v>
      </c>
    </row>
    <row r="45" spans="1:36" x14ac:dyDescent="0.2">
      <c r="A45" s="3" t="s">
        <v>36</v>
      </c>
      <c r="B45" s="3" t="s">
        <v>37</v>
      </c>
      <c r="C45" s="3" t="s">
        <v>50</v>
      </c>
      <c r="D45" s="3">
        <v>3</v>
      </c>
      <c r="E45" s="3">
        <v>2022</v>
      </c>
      <c r="F45" s="3">
        <v>1</v>
      </c>
      <c r="G45" s="3" t="s">
        <v>48</v>
      </c>
      <c r="H45" s="3" t="s">
        <v>46</v>
      </c>
      <c r="I45" s="5">
        <v>79819835.711999997</v>
      </c>
      <c r="J45" s="3">
        <v>4709689.2620000001</v>
      </c>
      <c r="K45" s="3">
        <v>75110146.449999988</v>
      </c>
      <c r="L45" s="3">
        <v>50653881.530000001</v>
      </c>
      <c r="M45" s="3">
        <v>24456264.920000002</v>
      </c>
      <c r="N45" s="3">
        <v>8869789.0862170681</v>
      </c>
      <c r="O45" s="3">
        <f t="shared" si="1"/>
        <v>11.809042460224187</v>
      </c>
      <c r="P45" s="3">
        <v>1604415.8591999998</v>
      </c>
      <c r="Q45" s="3">
        <v>490942.43339641712</v>
      </c>
      <c r="R45" s="3">
        <v>2390548.1962015587</v>
      </c>
      <c r="S45" s="3">
        <v>774063.67537886032</v>
      </c>
      <c r="T45" s="3">
        <v>874607.41748098098</v>
      </c>
      <c r="U45" s="3">
        <v>2183126.7147376663</v>
      </c>
      <c r="V45" s="3">
        <v>552084.78982158448</v>
      </c>
      <c r="W45" s="3">
        <v>0</v>
      </c>
      <c r="X45" s="3">
        <v>15586475.833782934</v>
      </c>
      <c r="Y45" s="3">
        <v>0</v>
      </c>
      <c r="Z45" s="3">
        <v>1759578.9197193042</v>
      </c>
      <c r="AA45" s="3">
        <v>-1759578.9197193042</v>
      </c>
      <c r="AB45" s="3">
        <v>0</v>
      </c>
      <c r="AC45" s="3">
        <v>274676.32214033848</v>
      </c>
      <c r="AD45" s="3">
        <v>-274676.32214033848</v>
      </c>
      <c r="AE45" s="3">
        <v>-2034255.2418596426</v>
      </c>
      <c r="AF45" s="3">
        <v>0</v>
      </c>
      <c r="AG45" s="3">
        <v>13552220.591923289</v>
      </c>
      <c r="AH45" s="3">
        <v>13552220.591923289</v>
      </c>
      <c r="AI45" s="3">
        <v>102080000</v>
      </c>
      <c r="AJ45" s="3">
        <v>24753849.361312501</v>
      </c>
    </row>
    <row r="46" spans="1:36" x14ac:dyDescent="0.2">
      <c r="A46" s="3" t="s">
        <v>36</v>
      </c>
      <c r="B46" s="3" t="s">
        <v>37</v>
      </c>
      <c r="C46" s="3" t="s">
        <v>50</v>
      </c>
      <c r="D46" s="3">
        <v>1</v>
      </c>
      <c r="E46" s="3">
        <v>2022</v>
      </c>
      <c r="F46" s="3">
        <v>1</v>
      </c>
      <c r="G46" s="3" t="s">
        <v>48</v>
      </c>
      <c r="H46" s="3" t="s">
        <v>46</v>
      </c>
      <c r="I46" s="5">
        <v>88411624</v>
      </c>
      <c r="J46" s="3">
        <v>5292008.959999999</v>
      </c>
      <c r="K46" s="3">
        <v>83119615.039999992</v>
      </c>
      <c r="L46" s="3">
        <v>60310441.464000002</v>
      </c>
      <c r="M46" s="3">
        <v>22809173.575999998</v>
      </c>
      <c r="N46" s="3">
        <v>11465162.876756642</v>
      </c>
      <c r="O46" s="3">
        <f t="shared" si="1"/>
        <v>13.793570712808542</v>
      </c>
      <c r="P46" s="3">
        <v>1549091.1743999997</v>
      </c>
      <c r="Q46" s="3">
        <v>664425.43182015826</v>
      </c>
      <c r="R46" s="3">
        <v>2962253.089121093</v>
      </c>
      <c r="S46" s="3">
        <v>1899544.5284899129</v>
      </c>
      <c r="T46" s="3">
        <v>1054486.9097495549</v>
      </c>
      <c r="U46" s="3">
        <v>2362811.3750125249</v>
      </c>
      <c r="V46" s="3">
        <v>972550.3681633966</v>
      </c>
      <c r="W46" s="3">
        <v>0</v>
      </c>
      <c r="X46" s="3">
        <v>11344010.699243357</v>
      </c>
      <c r="Y46" s="3">
        <v>0</v>
      </c>
      <c r="Z46" s="3">
        <v>1519319.2804830533</v>
      </c>
      <c r="AA46" s="3">
        <v>-1519319.2804830533</v>
      </c>
      <c r="AB46" s="3">
        <v>0</v>
      </c>
      <c r="AC46" s="3">
        <v>456229.52509789291</v>
      </c>
      <c r="AD46" s="3">
        <v>-456229.52509789291</v>
      </c>
      <c r="AE46" s="3">
        <v>9368461.8936624117</v>
      </c>
      <c r="AF46" s="3">
        <v>0</v>
      </c>
      <c r="AG46" s="3">
        <v>9368461.8936624117</v>
      </c>
      <c r="AH46" s="3">
        <v>9368461.8936624117</v>
      </c>
      <c r="AI46" s="3">
        <v>62720000</v>
      </c>
      <c r="AJ46" s="3">
        <v>13015802.416123403</v>
      </c>
    </row>
    <row r="47" spans="1:36" x14ac:dyDescent="0.2">
      <c r="A47" s="3" t="s">
        <v>36</v>
      </c>
      <c r="B47" s="3" t="s">
        <v>37</v>
      </c>
      <c r="C47" s="3" t="s">
        <v>50</v>
      </c>
      <c r="D47" s="3">
        <v>3</v>
      </c>
      <c r="E47" s="3">
        <v>2022</v>
      </c>
      <c r="F47" s="3">
        <v>1</v>
      </c>
      <c r="G47" s="3" t="s">
        <v>39</v>
      </c>
      <c r="H47" s="3" t="s">
        <v>46</v>
      </c>
      <c r="I47" s="5">
        <v>331417583.013578</v>
      </c>
      <c r="J47" s="3">
        <v>0</v>
      </c>
      <c r="K47" s="3">
        <v>331417583.013578</v>
      </c>
      <c r="L47" s="3">
        <v>330711597.67140269</v>
      </c>
      <c r="M47" s="3">
        <v>705985.3421752929</v>
      </c>
      <c r="N47" s="3">
        <v>863867.55649006087</v>
      </c>
      <c r="O47" s="3">
        <f t="shared" si="1"/>
        <v>0.26065833581758657</v>
      </c>
      <c r="P47" s="3">
        <v>130767.4368</v>
      </c>
      <c r="Q47" s="3">
        <v>33663.175000000003</v>
      </c>
      <c r="R47" s="3">
        <v>554740.78922794166</v>
      </c>
      <c r="S47" s="3">
        <v>39050.277463055063</v>
      </c>
      <c r="T47" s="3">
        <v>25301.386781534817</v>
      </c>
      <c r="U47" s="3">
        <v>70598.53421752929</v>
      </c>
      <c r="V47" s="3">
        <v>9745.9570000000003</v>
      </c>
      <c r="W47" s="3">
        <v>0</v>
      </c>
      <c r="X47" s="3">
        <v>-157882.21431476789</v>
      </c>
      <c r="Y47" s="3">
        <v>583510.44461638993</v>
      </c>
      <c r="Z47" s="3">
        <v>688743.11774472182</v>
      </c>
      <c r="AA47" s="3">
        <v>-105232.67312833181</v>
      </c>
      <c r="AB47" s="3">
        <v>6110</v>
      </c>
      <c r="AC47" s="3">
        <v>0</v>
      </c>
      <c r="AD47" s="3">
        <v>6110</v>
      </c>
      <c r="AE47" s="3">
        <v>-257004.88744309969</v>
      </c>
      <c r="AF47" s="3">
        <v>0</v>
      </c>
      <c r="AG47" s="3">
        <v>-257004.88744309969</v>
      </c>
      <c r="AH47" s="3">
        <v>-257004.88744309969</v>
      </c>
      <c r="AI47" s="3">
        <v>812500000</v>
      </c>
      <c r="AJ47" s="3">
        <v>92592.592592592584</v>
      </c>
    </row>
    <row r="48" spans="1:36" x14ac:dyDescent="0.2">
      <c r="A48" s="3" t="s">
        <v>36</v>
      </c>
      <c r="B48" s="3" t="s">
        <v>37</v>
      </c>
      <c r="C48" s="3" t="s">
        <v>50</v>
      </c>
      <c r="D48" s="3">
        <v>2</v>
      </c>
      <c r="E48" s="3">
        <v>2022</v>
      </c>
      <c r="F48" s="3">
        <v>1</v>
      </c>
      <c r="G48" s="3" t="s">
        <v>39</v>
      </c>
      <c r="H48" s="3" t="s">
        <v>46</v>
      </c>
      <c r="I48" s="5">
        <v>823603777.90595818</v>
      </c>
      <c r="J48" s="3">
        <v>0</v>
      </c>
      <c r="K48" s="3">
        <v>823603777.90595818</v>
      </c>
      <c r="L48" s="3">
        <v>821941351.44486284</v>
      </c>
      <c r="M48" s="3">
        <v>1662426.461095375</v>
      </c>
      <c r="N48" s="3">
        <v>1293657.9120459631</v>
      </c>
      <c r="O48" s="3">
        <f t="shared" si="1"/>
        <v>0.15707284822504508</v>
      </c>
      <c r="P48" s="3">
        <v>171003.57119999998</v>
      </c>
      <c r="Q48" s="3">
        <v>44021.074999999997</v>
      </c>
      <c r="R48" s="3">
        <v>770634.90459626005</v>
      </c>
      <c r="S48" s="3">
        <v>51065.747451687392</v>
      </c>
      <c r="T48" s="3">
        <v>74553.482688478194</v>
      </c>
      <c r="U48" s="3">
        <v>166242.64610953751</v>
      </c>
      <c r="V48" s="3">
        <v>16136.485000000001</v>
      </c>
      <c r="W48" s="3">
        <v>0</v>
      </c>
      <c r="X48" s="3">
        <v>368768.54904941196</v>
      </c>
      <c r="Y48" s="3">
        <v>869536.46734475647</v>
      </c>
      <c r="Z48" s="3">
        <v>1053218.4606599454</v>
      </c>
      <c r="AA48" s="3">
        <v>-183681.99331518891</v>
      </c>
      <c r="AB48" s="3">
        <v>1870</v>
      </c>
      <c r="AC48" s="3">
        <v>0</v>
      </c>
      <c r="AD48" s="3">
        <v>1870</v>
      </c>
      <c r="AE48" s="3">
        <v>186956.55573422299</v>
      </c>
      <c r="AF48" s="3">
        <v>0</v>
      </c>
      <c r="AG48" s="3">
        <v>186956.55573422299</v>
      </c>
      <c r="AH48" s="3">
        <v>186956.55573422299</v>
      </c>
      <c r="AI48" s="3">
        <v>850000000</v>
      </c>
      <c r="AJ48" s="3">
        <v>96866.09686609685</v>
      </c>
    </row>
    <row r="49" spans="1:36" x14ac:dyDescent="0.2">
      <c r="A49" s="3" t="s">
        <v>36</v>
      </c>
      <c r="B49" s="3" t="s">
        <v>37</v>
      </c>
      <c r="C49" s="3" t="s">
        <v>50</v>
      </c>
      <c r="D49" s="3">
        <v>1</v>
      </c>
      <c r="E49" s="3">
        <v>2022</v>
      </c>
      <c r="F49" s="3">
        <v>1</v>
      </c>
      <c r="G49" s="3" t="s">
        <v>39</v>
      </c>
      <c r="H49" s="3" t="s">
        <v>46</v>
      </c>
      <c r="I49" s="5">
        <v>1455788365.2956164</v>
      </c>
      <c r="J49" s="3">
        <v>0</v>
      </c>
      <c r="K49" s="3">
        <v>1455788365.2956164</v>
      </c>
      <c r="L49" s="3">
        <v>1454194172.837882</v>
      </c>
      <c r="M49" s="3">
        <v>1594192.4577345429</v>
      </c>
      <c r="N49" s="3">
        <v>1502170.7589301323</v>
      </c>
      <c r="O49" s="3">
        <f t="shared" si="1"/>
        <v>0.10318606706443195</v>
      </c>
      <c r="P49" s="3">
        <v>130767.4368</v>
      </c>
      <c r="Q49" s="3">
        <v>104327.9300049224</v>
      </c>
      <c r="R49" s="3">
        <v>694940.40656229085</v>
      </c>
      <c r="S49" s="3">
        <v>39050.277463055063</v>
      </c>
      <c r="T49" s="3">
        <v>121351.80332640935</v>
      </c>
      <c r="U49" s="3">
        <v>159419.24577345431</v>
      </c>
      <c r="V49" s="3">
        <v>252313.65900000001</v>
      </c>
      <c r="W49" s="3">
        <v>0</v>
      </c>
      <c r="X49" s="3">
        <v>92021.698804410727</v>
      </c>
      <c r="Y49" s="3">
        <v>1164720.0530896806</v>
      </c>
      <c r="Z49" s="3">
        <v>1580784.8947642732</v>
      </c>
      <c r="AA49" s="3">
        <v>-416064.84167459246</v>
      </c>
      <c r="AB49" s="3">
        <v>1820</v>
      </c>
      <c r="AC49" s="3">
        <v>0</v>
      </c>
      <c r="AD49" s="3">
        <v>1820</v>
      </c>
      <c r="AE49" s="3">
        <v>-322223.14287018176</v>
      </c>
      <c r="AF49" s="3">
        <v>0</v>
      </c>
      <c r="AG49" s="3">
        <v>-322223.14287018176</v>
      </c>
      <c r="AH49" s="3">
        <v>-322223.14287018176</v>
      </c>
      <c r="AI49" s="3">
        <v>1625000000</v>
      </c>
      <c r="AJ49" s="3">
        <v>185185.18518518517</v>
      </c>
    </row>
    <row r="50" spans="1:36" x14ac:dyDescent="0.2">
      <c r="A50" s="3" t="s">
        <v>36</v>
      </c>
      <c r="B50" s="3" t="s">
        <v>37</v>
      </c>
      <c r="C50" s="3" t="s">
        <v>51</v>
      </c>
      <c r="D50" s="3">
        <v>3</v>
      </c>
      <c r="E50" s="3">
        <v>2022</v>
      </c>
      <c r="F50" s="3">
        <v>1</v>
      </c>
      <c r="G50" s="3" t="s">
        <v>42</v>
      </c>
      <c r="H50" s="3" t="s">
        <v>46</v>
      </c>
      <c r="I50" s="5">
        <v>1035050</v>
      </c>
      <c r="J50" s="3">
        <v>95480</v>
      </c>
      <c r="K50" s="3">
        <v>939570</v>
      </c>
      <c r="L50" s="3">
        <v>621030</v>
      </c>
      <c r="M50" s="3">
        <v>318540</v>
      </c>
      <c r="N50" s="3">
        <v>207618.60791380366</v>
      </c>
      <c r="O50" s="3">
        <f t="shared" si="1"/>
        <v>22.097194239258773</v>
      </c>
      <c r="P50" s="3">
        <v>18032</v>
      </c>
      <c r="Q50" s="3">
        <v>2456.66</v>
      </c>
      <c r="R50" s="3">
        <v>25918.702406434146</v>
      </c>
      <c r="S50" s="3">
        <v>126793.27550736952</v>
      </c>
      <c r="T50" s="3">
        <v>0</v>
      </c>
      <c r="U50" s="3">
        <v>31854</v>
      </c>
      <c r="V50" s="3">
        <v>2563.9699999999998</v>
      </c>
      <c r="W50" s="3">
        <v>0</v>
      </c>
      <c r="X50" s="3">
        <v>110921.39208619636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110921.39208619636</v>
      </c>
      <c r="AF50" s="3">
        <v>0</v>
      </c>
      <c r="AG50" s="3">
        <v>110921.39208619636</v>
      </c>
      <c r="AH50" s="3">
        <v>110921.39208619636</v>
      </c>
      <c r="AI50" s="3">
        <v>200000</v>
      </c>
      <c r="AJ50" s="3">
        <v>45333.333333333328</v>
      </c>
    </row>
    <row r="51" spans="1:36" x14ac:dyDescent="0.2">
      <c r="A51" s="3" t="s">
        <v>36</v>
      </c>
      <c r="B51" s="3" t="s">
        <v>37</v>
      </c>
      <c r="C51" s="3" t="s">
        <v>51</v>
      </c>
      <c r="D51" s="3">
        <v>2</v>
      </c>
      <c r="E51" s="3">
        <v>2022</v>
      </c>
      <c r="F51" s="3">
        <v>1</v>
      </c>
      <c r="G51" s="3" t="s">
        <v>42</v>
      </c>
      <c r="H51" s="3" t="s">
        <v>46</v>
      </c>
      <c r="I51" s="5">
        <v>3302712</v>
      </c>
      <c r="J51" s="3">
        <v>30392.600000000002</v>
      </c>
      <c r="K51" s="3">
        <v>3272319.4</v>
      </c>
      <c r="L51" s="3">
        <v>2126625.1999999997</v>
      </c>
      <c r="M51" s="3">
        <v>1145694.2</v>
      </c>
      <c r="N51" s="3">
        <v>374028.05815067404</v>
      </c>
      <c r="O51" s="3">
        <f t="shared" si="1"/>
        <v>11.430059613088932</v>
      </c>
      <c r="P51" s="3">
        <v>25244.799999999999</v>
      </c>
      <c r="Q51" s="3">
        <v>3449.9780000000001</v>
      </c>
      <c r="R51" s="3">
        <v>75990.240440356749</v>
      </c>
      <c r="S51" s="3">
        <v>151188.26171031731</v>
      </c>
      <c r="T51" s="3">
        <v>0</v>
      </c>
      <c r="U51" s="3">
        <v>114565.22</v>
      </c>
      <c r="V51" s="3">
        <v>3589.558</v>
      </c>
      <c r="W51" s="3">
        <v>0</v>
      </c>
      <c r="X51" s="3">
        <v>771666.14184932597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771666.14184932597</v>
      </c>
      <c r="AF51" s="3">
        <v>0</v>
      </c>
      <c r="AG51" s="3">
        <v>771666.14184932597</v>
      </c>
      <c r="AH51" s="3">
        <v>771666.14184932597</v>
      </c>
      <c r="AI51" s="3">
        <v>2800000</v>
      </c>
      <c r="AJ51" s="3">
        <v>634666.66666666651</v>
      </c>
    </row>
    <row r="52" spans="1:36" x14ac:dyDescent="0.2">
      <c r="A52" s="3" t="s">
        <v>36</v>
      </c>
      <c r="B52" s="3" t="s">
        <v>37</v>
      </c>
      <c r="C52" s="3" t="s">
        <v>51</v>
      </c>
      <c r="D52" s="3">
        <v>1</v>
      </c>
      <c r="E52" s="3">
        <v>2022</v>
      </c>
      <c r="F52" s="3">
        <v>1</v>
      </c>
      <c r="G52" s="3" t="s">
        <v>42</v>
      </c>
      <c r="H52" s="3" t="s">
        <v>46</v>
      </c>
      <c r="I52" s="5">
        <v>3860442</v>
      </c>
      <c r="J52" s="3">
        <v>217224</v>
      </c>
      <c r="K52" s="3">
        <v>3643218</v>
      </c>
      <c r="L52" s="3">
        <v>2393305.1999999997</v>
      </c>
      <c r="M52" s="3">
        <v>1249912.8</v>
      </c>
      <c r="N52" s="3">
        <v>267240.12298387079</v>
      </c>
      <c r="O52" s="3">
        <f t="shared" si="1"/>
        <v>7.3352767521424962</v>
      </c>
      <c r="P52" s="3">
        <v>32457.600000000002</v>
      </c>
      <c r="Q52" s="3">
        <v>1223.1111801242232</v>
      </c>
      <c r="R52" s="3">
        <v>58780.823890481493</v>
      </c>
      <c r="S52" s="3">
        <v>49786.58791326511</v>
      </c>
      <c r="T52" s="3">
        <v>0</v>
      </c>
      <c r="U52" s="3">
        <v>124992</v>
      </c>
      <c r="V52" s="3">
        <v>0</v>
      </c>
      <c r="W52" s="3">
        <v>0</v>
      </c>
      <c r="X52" s="3">
        <v>982672.67701612914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982672.67701612914</v>
      </c>
      <c r="AF52" s="3">
        <v>0</v>
      </c>
      <c r="AG52" s="3">
        <v>982672.67701612914</v>
      </c>
      <c r="AH52" s="3">
        <v>982672.67701612914</v>
      </c>
      <c r="AI52" s="3">
        <v>3600000</v>
      </c>
      <c r="AJ52" s="3">
        <v>816000</v>
      </c>
    </row>
    <row r="53" spans="1:36" x14ac:dyDescent="0.2">
      <c r="A53" s="3" t="s">
        <v>36</v>
      </c>
      <c r="B53" s="3" t="s">
        <v>37</v>
      </c>
      <c r="C53" s="3" t="s">
        <v>51</v>
      </c>
      <c r="D53" s="3">
        <v>2</v>
      </c>
      <c r="E53" s="3">
        <v>2022</v>
      </c>
      <c r="F53" s="3">
        <v>1</v>
      </c>
      <c r="G53" s="3" t="s">
        <v>48</v>
      </c>
      <c r="H53" s="3" t="s">
        <v>46</v>
      </c>
      <c r="I53" s="5">
        <v>46695339</v>
      </c>
      <c r="J53" s="3">
        <v>455085</v>
      </c>
      <c r="K53" s="3">
        <v>46240254</v>
      </c>
      <c r="L53" s="3">
        <v>31527137.412000004</v>
      </c>
      <c r="M53" s="3">
        <v>14713116.588000001</v>
      </c>
      <c r="N53" s="3">
        <v>8121532.8800690528</v>
      </c>
      <c r="O53" s="3">
        <f t="shared" si="1"/>
        <v>17.563772206071906</v>
      </c>
      <c r="P53" s="3">
        <v>2020485.6</v>
      </c>
      <c r="Q53" s="3">
        <v>787171.67446736433</v>
      </c>
      <c r="R53" s="3">
        <v>2504307.1784549449</v>
      </c>
      <c r="S53" s="3">
        <v>689198.91829969722</v>
      </c>
      <c r="T53" s="3">
        <v>341258.36822233832</v>
      </c>
      <c r="U53" s="3">
        <v>1431678.9943074691</v>
      </c>
      <c r="V53" s="3">
        <v>347432.14631723752</v>
      </c>
      <c r="W53" s="3">
        <v>0</v>
      </c>
      <c r="X53" s="3">
        <v>6591583.7079309486</v>
      </c>
      <c r="Y53" s="3">
        <v>0</v>
      </c>
      <c r="Z53" s="3">
        <v>1720802.50074253</v>
      </c>
      <c r="AA53" s="3">
        <v>-1720802.50074253</v>
      </c>
      <c r="AB53" s="3">
        <v>0</v>
      </c>
      <c r="AC53" s="3">
        <v>188905.32548255962</v>
      </c>
      <c r="AD53" s="3">
        <v>-188905.32548255962</v>
      </c>
      <c r="AE53" s="3">
        <v>4681875.8817058578</v>
      </c>
      <c r="AF53" s="3">
        <v>0</v>
      </c>
      <c r="AG53" s="3">
        <v>4681875.8817058578</v>
      </c>
      <c r="AH53" s="3">
        <v>4681875.8817058578</v>
      </c>
      <c r="AI53" s="3">
        <v>37260000.000000007</v>
      </c>
      <c r="AJ53" s="3">
        <v>5470134.6133678732</v>
      </c>
    </row>
    <row r="54" spans="1:36" x14ac:dyDescent="0.2">
      <c r="A54" s="3" t="s">
        <v>36</v>
      </c>
      <c r="B54" s="3" t="s">
        <v>37</v>
      </c>
      <c r="C54" s="3" t="s">
        <v>51</v>
      </c>
      <c r="D54" s="3">
        <v>1</v>
      </c>
      <c r="E54" s="3">
        <v>2022</v>
      </c>
      <c r="F54" s="3">
        <v>1</v>
      </c>
      <c r="G54" s="3" t="s">
        <v>48</v>
      </c>
      <c r="H54" s="3" t="s">
        <v>46</v>
      </c>
      <c r="I54" s="5">
        <v>58112748</v>
      </c>
      <c r="J54" s="3">
        <v>3320244</v>
      </c>
      <c r="K54" s="3">
        <v>54792504</v>
      </c>
      <c r="L54" s="3">
        <v>37206357.966000006</v>
      </c>
      <c r="M54" s="3">
        <v>17586146.034000002</v>
      </c>
      <c r="N54" s="3">
        <v>9999432.8334341682</v>
      </c>
      <c r="O54" s="3">
        <f t="shared" si="1"/>
        <v>18.249636544141453</v>
      </c>
      <c r="P54" s="3">
        <v>2020485.6</v>
      </c>
      <c r="Q54" s="3">
        <v>802152.37509889598</v>
      </c>
      <c r="R54" s="3">
        <v>2902452.8179638525</v>
      </c>
      <c r="S54" s="3">
        <v>1502551.7084382088</v>
      </c>
      <c r="T54" s="3">
        <v>693111.71182167903</v>
      </c>
      <c r="U54" s="3">
        <v>1553070.2389047437</v>
      </c>
      <c r="V54" s="3">
        <v>525608.38120678836</v>
      </c>
      <c r="W54" s="3">
        <v>0</v>
      </c>
      <c r="X54" s="3">
        <v>7586713.2005658317</v>
      </c>
      <c r="Y54" s="3">
        <v>0</v>
      </c>
      <c r="Z54" s="3">
        <v>1411412.796569227</v>
      </c>
      <c r="AA54" s="3">
        <v>-1411412.796569227</v>
      </c>
      <c r="AB54" s="3">
        <v>0</v>
      </c>
      <c r="AC54" s="3">
        <v>377961.19966016663</v>
      </c>
      <c r="AD54" s="3">
        <v>-377961.19966016663</v>
      </c>
      <c r="AE54" s="3">
        <v>5797339.2043364383</v>
      </c>
      <c r="AF54" s="3">
        <v>0</v>
      </c>
      <c r="AG54" s="3">
        <v>5797339.2043364383</v>
      </c>
      <c r="AH54" s="3">
        <v>5797339.2043364383</v>
      </c>
      <c r="AI54" s="3">
        <v>43470000.000000007</v>
      </c>
      <c r="AJ54" s="3">
        <v>6556359.8985839263</v>
      </c>
    </row>
    <row r="55" spans="1:36" x14ac:dyDescent="0.2">
      <c r="A55" s="3" t="s">
        <v>36</v>
      </c>
      <c r="B55" s="3" t="s">
        <v>37</v>
      </c>
      <c r="C55" s="3" t="s">
        <v>51</v>
      </c>
      <c r="D55" s="3">
        <v>3</v>
      </c>
      <c r="E55" s="3">
        <v>2022</v>
      </c>
      <c r="F55" s="3">
        <v>1</v>
      </c>
      <c r="G55" s="3" t="s">
        <v>48</v>
      </c>
      <c r="H55" s="3" t="s">
        <v>46</v>
      </c>
      <c r="I55" s="5">
        <v>75395958.022000015</v>
      </c>
      <c r="J55" s="3">
        <v>4785145.222000001</v>
      </c>
      <c r="K55" s="3">
        <v>70610812.800000012</v>
      </c>
      <c r="L55" s="3">
        <v>50373102.692000009</v>
      </c>
      <c r="M55" s="3">
        <v>20237710.108000003</v>
      </c>
      <c r="N55" s="3">
        <v>8718242.0764508266</v>
      </c>
      <c r="O55" s="3">
        <f t="shared" si="1"/>
        <v>12.346893812346577</v>
      </c>
      <c r="P55" s="3">
        <v>1646321.6</v>
      </c>
      <c r="Q55" s="3">
        <v>706546.88345767104</v>
      </c>
      <c r="R55" s="3">
        <v>2086723.4732924958</v>
      </c>
      <c r="S55" s="3">
        <v>641073.27704887814</v>
      </c>
      <c r="T55" s="3">
        <v>819545.2773590039</v>
      </c>
      <c r="U55" s="3">
        <v>2045684.9017958837</v>
      </c>
      <c r="V55" s="3">
        <v>772346.6634968922</v>
      </c>
      <c r="W55" s="3">
        <v>0</v>
      </c>
      <c r="X55" s="3">
        <v>11519468.031549176</v>
      </c>
      <c r="Y55" s="3">
        <v>0</v>
      </c>
      <c r="Z55" s="3">
        <v>1506715.4911025835</v>
      </c>
      <c r="AA55" s="3">
        <v>-1506715.4911025835</v>
      </c>
      <c r="AB55" s="3">
        <v>0</v>
      </c>
      <c r="AC55" s="3">
        <v>270811.40929190844</v>
      </c>
      <c r="AD55" s="3">
        <v>-270811.40929190844</v>
      </c>
      <c r="AE55" s="3">
        <v>-1777526.9003944919</v>
      </c>
      <c r="AF55" s="3">
        <v>0</v>
      </c>
      <c r="AG55" s="3">
        <v>9741941.1311546825</v>
      </c>
      <c r="AH55" s="3">
        <v>9741941.1311546825</v>
      </c>
      <c r="AI55" s="3">
        <v>55660000</v>
      </c>
      <c r="AJ55" s="3">
        <v>8698927.8781189676</v>
      </c>
    </row>
    <row r="56" spans="1:36" x14ac:dyDescent="0.2">
      <c r="A56" s="3" t="s">
        <v>36</v>
      </c>
      <c r="B56" s="3" t="s">
        <v>37</v>
      </c>
      <c r="C56" s="3" t="s">
        <v>51</v>
      </c>
      <c r="D56" s="3">
        <v>3</v>
      </c>
      <c r="E56" s="3">
        <v>2022</v>
      </c>
      <c r="F56" s="3">
        <v>1</v>
      </c>
      <c r="G56" s="3" t="s">
        <v>39</v>
      </c>
      <c r="H56" s="3" t="s">
        <v>46</v>
      </c>
      <c r="I56" s="5">
        <v>547736155.45346653</v>
      </c>
      <c r="J56" s="3">
        <v>0</v>
      </c>
      <c r="K56" s="3">
        <v>547736155.45346653</v>
      </c>
      <c r="L56" s="3">
        <v>546498355.0045743</v>
      </c>
      <c r="M56" s="3">
        <v>1237800.4488922919</v>
      </c>
      <c r="N56" s="3">
        <v>1075474.3602174732</v>
      </c>
      <c r="O56" s="3">
        <f t="shared" si="1"/>
        <v>0.19634898107595186</v>
      </c>
      <c r="P56" s="3">
        <v>51391.199999999997</v>
      </c>
      <c r="Q56" s="3">
        <v>24894.274999999998</v>
      </c>
      <c r="R56" s="3">
        <v>784550.2660959838</v>
      </c>
      <c r="S56" s="3">
        <v>39055.597487680774</v>
      </c>
      <c r="T56" s="3">
        <v>41815.778744579358</v>
      </c>
      <c r="U56" s="3">
        <v>123780.04488922919</v>
      </c>
      <c r="V56" s="3">
        <v>9987.1980000000003</v>
      </c>
      <c r="W56" s="3">
        <v>0</v>
      </c>
      <c r="X56" s="3">
        <v>162326.08867481878</v>
      </c>
      <c r="Y56" s="3">
        <v>964371.78949564113</v>
      </c>
      <c r="Z56" s="3">
        <v>1138290.563760078</v>
      </c>
      <c r="AA56" s="3">
        <v>-173918.77426443694</v>
      </c>
      <c r="AB56" s="3">
        <v>4465</v>
      </c>
      <c r="AC56" s="3">
        <v>0</v>
      </c>
      <c r="AD56" s="3">
        <v>4465</v>
      </c>
      <c r="AE56" s="3">
        <v>-7127.6855896181605</v>
      </c>
      <c r="AF56" s="3">
        <v>0</v>
      </c>
      <c r="AG56" s="3">
        <v>-7127.6855896181605</v>
      </c>
      <c r="AH56" s="3">
        <v>-7127.6855896181605</v>
      </c>
      <c r="AI56" s="3">
        <v>831250000</v>
      </c>
      <c r="AJ56" s="3">
        <v>-93267.882187938289</v>
      </c>
    </row>
    <row r="57" spans="1:36" x14ac:dyDescent="0.2">
      <c r="A57" s="3" t="s">
        <v>36</v>
      </c>
      <c r="B57" s="3" t="s">
        <v>37</v>
      </c>
      <c r="C57" s="3" t="s">
        <v>51</v>
      </c>
      <c r="D57" s="3">
        <v>1</v>
      </c>
      <c r="E57" s="3">
        <v>2022</v>
      </c>
      <c r="F57" s="3">
        <v>1</v>
      </c>
      <c r="G57" s="3" t="s">
        <v>39</v>
      </c>
      <c r="H57" s="3" t="s">
        <v>46</v>
      </c>
      <c r="I57" s="5">
        <v>582150850.12619972</v>
      </c>
      <c r="J57" s="3">
        <v>0</v>
      </c>
      <c r="K57" s="3">
        <v>582150850.12619972</v>
      </c>
      <c r="L57" s="3">
        <v>581513353.27799106</v>
      </c>
      <c r="M57" s="3">
        <v>637496.84820870217</v>
      </c>
      <c r="N57" s="3">
        <v>1020210.4713839157</v>
      </c>
      <c r="O57" s="3">
        <f t="shared" si="1"/>
        <v>0.17524847230966897</v>
      </c>
      <c r="P57" s="3">
        <v>48686.400000000001</v>
      </c>
      <c r="Q57" s="3">
        <v>57113.260035492458</v>
      </c>
      <c r="R57" s="3">
        <v>764342.07755095721</v>
      </c>
      <c r="S57" s="3">
        <v>37000.039725171257</v>
      </c>
      <c r="T57" s="3">
        <v>48527.009251424533</v>
      </c>
      <c r="U57" s="3">
        <v>63749.684820870207</v>
      </c>
      <c r="V57" s="3">
        <v>792</v>
      </c>
      <c r="W57" s="3">
        <v>0</v>
      </c>
      <c r="X57" s="3">
        <v>-382713.62317521364</v>
      </c>
      <c r="Y57" s="3">
        <v>465756.41434495518</v>
      </c>
      <c r="Z57" s="3">
        <v>632135.33800073131</v>
      </c>
      <c r="AA57" s="3">
        <v>-166378.92365577616</v>
      </c>
      <c r="AB57" s="3">
        <v>2160</v>
      </c>
      <c r="AC57" s="3">
        <v>0</v>
      </c>
      <c r="AD57" s="3">
        <v>2160</v>
      </c>
      <c r="AE57" s="3">
        <v>-546932.54683098977</v>
      </c>
      <c r="AF57" s="3">
        <v>0</v>
      </c>
      <c r="AG57" s="3">
        <v>-546932.54683098977</v>
      </c>
      <c r="AH57" s="3">
        <v>-546932.54683098977</v>
      </c>
      <c r="AI57" s="3">
        <v>810000000</v>
      </c>
      <c r="AJ57" s="3">
        <v>-90883.590462833105</v>
      </c>
    </row>
    <row r="58" spans="1:36" x14ac:dyDescent="0.2">
      <c r="A58" s="3" t="s">
        <v>36</v>
      </c>
      <c r="B58" s="3" t="s">
        <v>37</v>
      </c>
      <c r="C58" s="3" t="s">
        <v>51</v>
      </c>
      <c r="D58" s="3">
        <v>2</v>
      </c>
      <c r="E58" s="3">
        <v>2022</v>
      </c>
      <c r="F58" s="3">
        <v>1</v>
      </c>
      <c r="G58" s="3" t="s">
        <v>39</v>
      </c>
      <c r="H58" s="3" t="s">
        <v>46</v>
      </c>
      <c r="I58" s="5">
        <v>1441776108.8807783</v>
      </c>
      <c r="J58" s="3">
        <v>0</v>
      </c>
      <c r="K58" s="3">
        <v>1441776108.8807783</v>
      </c>
      <c r="L58" s="3">
        <v>1438700070.4145637</v>
      </c>
      <c r="M58" s="3">
        <v>3076038.4662147141</v>
      </c>
      <c r="N58" s="3">
        <v>1894277.1741891603</v>
      </c>
      <c r="O58" s="3">
        <f t="shared" si="1"/>
        <v>0.13138497458247173</v>
      </c>
      <c r="P58" s="3">
        <v>78439.199999999997</v>
      </c>
      <c r="Q58" s="3">
        <v>37996.525000000001</v>
      </c>
      <c r="R58" s="3">
        <v>1267686.0783370587</v>
      </c>
      <c r="S58" s="3">
        <v>59611.17511277592</v>
      </c>
      <c r="T58" s="3">
        <v>130511.09411785392</v>
      </c>
      <c r="U58" s="3">
        <v>307603.8466214714</v>
      </c>
      <c r="V58" s="3">
        <v>12429.255000000001</v>
      </c>
      <c r="W58" s="3">
        <v>0</v>
      </c>
      <c r="X58" s="3">
        <v>1181761.2920255538</v>
      </c>
      <c r="Y58" s="3">
        <v>1522184.4994516405</v>
      </c>
      <c r="Z58" s="3">
        <v>1843732.6961667815</v>
      </c>
      <c r="AA58" s="3">
        <v>-321548.19671514072</v>
      </c>
      <c r="AB58" s="3">
        <v>9280</v>
      </c>
      <c r="AC58" s="3">
        <v>0</v>
      </c>
      <c r="AD58" s="3">
        <v>9280</v>
      </c>
      <c r="AE58" s="3">
        <v>869493.09531041305</v>
      </c>
      <c r="AF58" s="3">
        <v>0</v>
      </c>
      <c r="AG58" s="3">
        <v>869493.09531041305</v>
      </c>
      <c r="AH58" s="3">
        <v>869493.09531041305</v>
      </c>
      <c r="AI58" s="3">
        <v>1450000000</v>
      </c>
      <c r="AJ58" s="3">
        <v>-162692.84712482468</v>
      </c>
    </row>
    <row r="59" spans="1:36" x14ac:dyDescent="0.2">
      <c r="A59" s="3" t="s">
        <v>36</v>
      </c>
      <c r="B59" s="3" t="s">
        <v>37</v>
      </c>
      <c r="C59" s="3" t="s">
        <v>52</v>
      </c>
      <c r="D59" s="3">
        <v>1</v>
      </c>
      <c r="E59" s="3">
        <v>2022</v>
      </c>
      <c r="F59" s="3">
        <v>1</v>
      </c>
      <c r="G59" s="3" t="s">
        <v>42</v>
      </c>
      <c r="H59" s="3" t="s">
        <v>46</v>
      </c>
      <c r="I59" s="5">
        <v>10400</v>
      </c>
      <c r="J59" s="3">
        <v>0</v>
      </c>
      <c r="K59" s="3">
        <v>10400</v>
      </c>
      <c r="L59" s="3">
        <v>7280</v>
      </c>
      <c r="M59" s="3">
        <v>3120</v>
      </c>
      <c r="N59" s="3">
        <v>98382.744645532483</v>
      </c>
      <c r="O59" s="3">
        <f t="shared" si="1"/>
        <v>945.98792928396631</v>
      </c>
      <c r="P59" s="3">
        <v>14300</v>
      </c>
      <c r="Q59" s="3">
        <v>32155.303876643709</v>
      </c>
      <c r="R59" s="3">
        <v>41894.551613806318</v>
      </c>
      <c r="S59" s="3">
        <v>3143.7471550824466</v>
      </c>
      <c r="T59" s="3">
        <v>0</v>
      </c>
      <c r="U59" s="3">
        <v>312</v>
      </c>
      <c r="V59" s="3">
        <v>6577.1420000000016</v>
      </c>
      <c r="W59" s="3">
        <v>0</v>
      </c>
      <c r="X59" s="3">
        <v>-95262.744645532483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-95262.744645532483</v>
      </c>
      <c r="AF59" s="3">
        <v>0</v>
      </c>
      <c r="AG59" s="3">
        <v>-95262.744645532483</v>
      </c>
      <c r="AH59" s="3">
        <v>-95262.744645532483</v>
      </c>
      <c r="AI59" s="3">
        <v>65000</v>
      </c>
      <c r="AJ59" s="3">
        <v>14733.333333333332</v>
      </c>
    </row>
    <row r="60" spans="1:36" x14ac:dyDescent="0.2">
      <c r="A60" s="3" t="s">
        <v>36</v>
      </c>
      <c r="B60" s="3" t="s">
        <v>37</v>
      </c>
      <c r="C60" s="3" t="s">
        <v>52</v>
      </c>
      <c r="D60" s="3">
        <v>3</v>
      </c>
      <c r="E60" s="3">
        <v>2022</v>
      </c>
      <c r="F60" s="3">
        <v>1</v>
      </c>
      <c r="G60" s="3" t="s">
        <v>42</v>
      </c>
      <c r="H60" s="3" t="s">
        <v>46</v>
      </c>
      <c r="I60" s="5">
        <v>475616</v>
      </c>
      <c r="J60" s="3">
        <v>87987.199999999997</v>
      </c>
      <c r="K60" s="3">
        <v>387628.79999999999</v>
      </c>
      <c r="L60" s="3">
        <v>290169.59999999998</v>
      </c>
      <c r="M60" s="3">
        <v>97459.199999999997</v>
      </c>
      <c r="N60" s="3">
        <v>125417.58358357821</v>
      </c>
      <c r="O60" s="3">
        <f t="shared" si="1"/>
        <v>32.355073612584569</v>
      </c>
      <c r="P60" s="3">
        <v>17600</v>
      </c>
      <c r="Q60" s="3">
        <v>7578.9599999999991</v>
      </c>
      <c r="R60" s="3">
        <v>42446.468315784412</v>
      </c>
      <c r="S60" s="3">
        <v>44298.187267793779</v>
      </c>
      <c r="T60" s="3">
        <v>0</v>
      </c>
      <c r="U60" s="3">
        <v>9745.92</v>
      </c>
      <c r="V60" s="3">
        <v>3748.0480000000007</v>
      </c>
      <c r="W60" s="3">
        <v>0</v>
      </c>
      <c r="X60" s="3">
        <v>-27958.383583578201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-27958.383583578201</v>
      </c>
      <c r="AF60" s="3">
        <v>0</v>
      </c>
      <c r="AG60" s="3">
        <v>-27958.383583578201</v>
      </c>
      <c r="AH60" s="3">
        <v>-27958.383583578201</v>
      </c>
      <c r="AI60" s="3">
        <v>144000</v>
      </c>
      <c r="AJ60" s="3">
        <v>32640</v>
      </c>
    </row>
    <row r="61" spans="1:36" x14ac:dyDescent="0.2">
      <c r="A61" s="3" t="s">
        <v>36</v>
      </c>
      <c r="B61" s="3" t="s">
        <v>37</v>
      </c>
      <c r="C61" s="3" t="s">
        <v>52</v>
      </c>
      <c r="D61" s="3">
        <v>2</v>
      </c>
      <c r="E61" s="3">
        <v>2022</v>
      </c>
      <c r="F61" s="3">
        <v>1</v>
      </c>
      <c r="G61" s="3" t="s">
        <v>42</v>
      </c>
      <c r="H61" s="3" t="s">
        <v>46</v>
      </c>
      <c r="I61" s="5">
        <v>1148598.0000000002</v>
      </c>
      <c r="J61" s="3">
        <v>0</v>
      </c>
      <c r="K61" s="3">
        <v>1148598.0000000002</v>
      </c>
      <c r="L61" s="3">
        <v>709838.8</v>
      </c>
      <c r="M61" s="3">
        <v>438759.19999999995</v>
      </c>
      <c r="N61" s="3">
        <v>176937.24597086461</v>
      </c>
      <c r="O61" s="3">
        <f t="shared" si="1"/>
        <v>15.40462772622489</v>
      </c>
      <c r="P61" s="3">
        <v>24200</v>
      </c>
      <c r="Q61" s="3">
        <v>10421.070000000002</v>
      </c>
      <c r="R61" s="3">
        <v>88926.582477648131</v>
      </c>
      <c r="S61" s="3">
        <v>4360.1074932164483</v>
      </c>
      <c r="T61" s="3">
        <v>0</v>
      </c>
      <c r="U61" s="3">
        <v>43875.92</v>
      </c>
      <c r="V61" s="3">
        <v>5153.5660000000007</v>
      </c>
      <c r="W61" s="3">
        <v>0</v>
      </c>
      <c r="X61" s="3">
        <v>261821.95402913546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261821.95402913546</v>
      </c>
      <c r="AF61" s="3">
        <v>0</v>
      </c>
      <c r="AG61" s="3">
        <v>261821.95402913546</v>
      </c>
      <c r="AH61" s="3">
        <v>261821.95402913546</v>
      </c>
      <c r="AI61" s="3">
        <v>220000</v>
      </c>
      <c r="AJ61" s="3">
        <v>49866.666666666672</v>
      </c>
    </row>
    <row r="62" spans="1:36" x14ac:dyDescent="0.2">
      <c r="A62" s="3" t="s">
        <v>36</v>
      </c>
      <c r="B62" s="3" t="s">
        <v>37</v>
      </c>
      <c r="C62" s="3" t="s">
        <v>52</v>
      </c>
      <c r="D62" s="3">
        <v>1</v>
      </c>
      <c r="E62" s="3">
        <v>2022</v>
      </c>
      <c r="F62" s="3">
        <v>1</v>
      </c>
      <c r="G62" s="3" t="s">
        <v>48</v>
      </c>
      <c r="H62" s="3" t="s">
        <v>46</v>
      </c>
      <c r="I62" s="5">
        <v>7728675</v>
      </c>
      <c r="J62" s="3">
        <v>99945</v>
      </c>
      <c r="K62" s="3">
        <v>7628730</v>
      </c>
      <c r="L62" s="3">
        <v>5297399.5050000008</v>
      </c>
      <c r="M62" s="3">
        <v>2331330.4950000001</v>
      </c>
      <c r="N62" s="3">
        <v>1972544.7346543395</v>
      </c>
      <c r="O62" s="3">
        <f t="shared" si="1"/>
        <v>25.856790509748535</v>
      </c>
      <c r="P62" s="3">
        <v>227699.99999999997</v>
      </c>
      <c r="Q62" s="3">
        <v>609638.08633528254</v>
      </c>
      <c r="R62" s="3">
        <v>438296.70208305417</v>
      </c>
      <c r="S62" s="3">
        <v>226171.40578271914</v>
      </c>
      <c r="T62" s="3">
        <v>92180.035254285598</v>
      </c>
      <c r="U62" s="3">
        <v>206549.77680055879</v>
      </c>
      <c r="V62" s="3">
        <v>172008.72839843913</v>
      </c>
      <c r="W62" s="3">
        <v>0</v>
      </c>
      <c r="X62" s="3">
        <v>358785.76034566062</v>
      </c>
      <c r="Y62" s="3">
        <v>0</v>
      </c>
      <c r="Z62" s="3">
        <v>176804.81464197399</v>
      </c>
      <c r="AA62" s="3">
        <v>-176804.81464197399</v>
      </c>
      <c r="AB62" s="3">
        <v>0</v>
      </c>
      <c r="AC62" s="3">
        <v>44772.605081159432</v>
      </c>
      <c r="AD62" s="3">
        <v>-44772.605081159432</v>
      </c>
      <c r="AE62" s="3">
        <v>137208.34062252715</v>
      </c>
      <c r="AF62" s="3">
        <v>0</v>
      </c>
      <c r="AG62" s="3">
        <v>137208.34062252715</v>
      </c>
      <c r="AH62" s="3">
        <v>137208.34062252715</v>
      </c>
      <c r="AI62" s="3">
        <v>8925000</v>
      </c>
      <c r="AJ62" s="3">
        <v>446250</v>
      </c>
    </row>
    <row r="63" spans="1:36" x14ac:dyDescent="0.2">
      <c r="A63" s="3" t="s">
        <v>36</v>
      </c>
      <c r="B63" s="3" t="s">
        <v>37</v>
      </c>
      <c r="C63" s="3" t="s">
        <v>52</v>
      </c>
      <c r="D63" s="3">
        <v>3</v>
      </c>
      <c r="E63" s="3">
        <v>2022</v>
      </c>
      <c r="F63" s="3">
        <v>1</v>
      </c>
      <c r="G63" s="3" t="s">
        <v>48</v>
      </c>
      <c r="H63" s="3" t="s">
        <v>46</v>
      </c>
      <c r="I63" s="5">
        <v>20869200</v>
      </c>
      <c r="J63" s="3">
        <v>735285</v>
      </c>
      <c r="K63" s="3">
        <v>20133915</v>
      </c>
      <c r="L63" s="3">
        <v>14540551.35</v>
      </c>
      <c r="M63" s="3">
        <v>5593363.6500000004</v>
      </c>
      <c r="N63" s="3">
        <v>4232319.8170695361</v>
      </c>
      <c r="O63" s="3">
        <f t="shared" si="1"/>
        <v>21.020848737414138</v>
      </c>
      <c r="P63" s="3">
        <v>455399.99999999994</v>
      </c>
      <c r="Q63" s="3">
        <v>1180015.1195075954</v>
      </c>
      <c r="R63" s="3">
        <v>1239768.4787491586</v>
      </c>
      <c r="S63" s="3">
        <v>337102.00388983637</v>
      </c>
      <c r="T63" s="3">
        <v>226845.77198780229</v>
      </c>
      <c r="U63" s="3">
        <v>566234.69576580613</v>
      </c>
      <c r="V63" s="3">
        <v>226953.74716933657</v>
      </c>
      <c r="W63" s="3">
        <v>0</v>
      </c>
      <c r="X63" s="3">
        <v>1361043.8329304641</v>
      </c>
      <c r="Y63" s="3">
        <v>0</v>
      </c>
      <c r="Z63" s="3">
        <v>314898.03824293672</v>
      </c>
      <c r="AA63" s="3">
        <v>-314898.03824293672</v>
      </c>
      <c r="AB63" s="3">
        <v>0</v>
      </c>
      <c r="AC63" s="3">
        <v>132321.27879191586</v>
      </c>
      <c r="AD63" s="3">
        <v>-132321.27879191586</v>
      </c>
      <c r="AE63" s="3">
        <v>-447219.31703485252</v>
      </c>
      <c r="AF63" s="3">
        <v>0</v>
      </c>
      <c r="AG63" s="3">
        <v>913824.51589561184</v>
      </c>
      <c r="AH63" s="3">
        <v>913824.51589561184</v>
      </c>
      <c r="AI63" s="3">
        <v>28050000</v>
      </c>
      <c r="AJ63" s="3">
        <v>1446422.5091103483</v>
      </c>
    </row>
    <row r="64" spans="1:36" x14ac:dyDescent="0.2">
      <c r="A64" s="3" t="s">
        <v>36</v>
      </c>
      <c r="B64" s="3" t="s">
        <v>37</v>
      </c>
      <c r="C64" s="3" t="s">
        <v>52</v>
      </c>
      <c r="D64" s="3">
        <v>2</v>
      </c>
      <c r="E64" s="3">
        <v>2022</v>
      </c>
      <c r="F64" s="3">
        <v>1</v>
      </c>
      <c r="G64" s="3" t="s">
        <v>48</v>
      </c>
      <c r="H64" s="3" t="s">
        <v>46</v>
      </c>
      <c r="I64" s="5">
        <v>28936780</v>
      </c>
      <c r="J64" s="3">
        <v>313791.59999999998</v>
      </c>
      <c r="K64" s="3">
        <v>28622988.399999999</v>
      </c>
      <c r="L64" s="3">
        <v>20219502.960000001</v>
      </c>
      <c r="M64" s="3">
        <v>8403485.4399999995</v>
      </c>
      <c r="N64" s="3">
        <v>4293433.6261720601</v>
      </c>
      <c r="O64" s="3">
        <f t="shared" si="1"/>
        <v>14.999948873864129</v>
      </c>
      <c r="P64" s="3">
        <v>440219.99999999994</v>
      </c>
      <c r="Q64" s="3">
        <v>1171580.8807791646</v>
      </c>
      <c r="R64" s="3">
        <v>1156721.094995412</v>
      </c>
      <c r="S64" s="3">
        <v>310528.88510732929</v>
      </c>
      <c r="T64" s="3">
        <v>211475.4606323512</v>
      </c>
      <c r="U64" s="3">
        <v>887201.61318234541</v>
      </c>
      <c r="V64" s="3">
        <v>115705.69147545783</v>
      </c>
      <c r="W64" s="3">
        <v>0</v>
      </c>
      <c r="X64" s="3">
        <v>4110051.8138279389</v>
      </c>
      <c r="Y64" s="3">
        <v>0</v>
      </c>
      <c r="Z64" s="3">
        <v>440234.24081920675</v>
      </c>
      <c r="AA64" s="3">
        <v>-440234.24081920675</v>
      </c>
      <c r="AB64" s="3">
        <v>0</v>
      </c>
      <c r="AC64" s="3">
        <v>125578.15875787091</v>
      </c>
      <c r="AD64" s="3">
        <v>-125578.15875787091</v>
      </c>
      <c r="AE64" s="3">
        <v>3544239.4142508609</v>
      </c>
      <c r="AF64" s="3">
        <v>0</v>
      </c>
      <c r="AG64" s="3">
        <v>3544239.4142508609</v>
      </c>
      <c r="AH64" s="3">
        <v>3544239.4142508609</v>
      </c>
      <c r="AI64" s="3">
        <v>14790000</v>
      </c>
      <c r="AJ64" s="3">
        <v>1549502.5904550485</v>
      </c>
    </row>
    <row r="65" spans="1:36" x14ac:dyDescent="0.2">
      <c r="A65" s="3" t="s">
        <v>36</v>
      </c>
      <c r="B65" s="3" t="s">
        <v>37</v>
      </c>
      <c r="C65" s="3" t="s">
        <v>52</v>
      </c>
      <c r="D65" s="3">
        <v>2</v>
      </c>
      <c r="E65" s="3">
        <v>2022</v>
      </c>
      <c r="F65" s="3">
        <v>1</v>
      </c>
      <c r="G65" s="3" t="s">
        <v>39</v>
      </c>
      <c r="H65" s="3" t="s">
        <v>46</v>
      </c>
      <c r="I65" s="5">
        <v>145874802.08449587</v>
      </c>
      <c r="J65" s="3">
        <v>0</v>
      </c>
      <c r="K65" s="3">
        <v>145874802.08449587</v>
      </c>
      <c r="L65" s="3">
        <v>145521720.53532043</v>
      </c>
      <c r="M65" s="3">
        <v>353081.54917544563</v>
      </c>
      <c r="N65" s="3">
        <v>435092.70220084343</v>
      </c>
      <c r="O65" s="3">
        <f t="shared" si="1"/>
        <v>0.29826446787487138</v>
      </c>
      <c r="P65" s="3">
        <v>26620</v>
      </c>
      <c r="Q65" s="3">
        <v>12027.686000000002</v>
      </c>
      <c r="R65" s="3">
        <v>320895.14921382384</v>
      </c>
      <c r="S65" s="3">
        <v>21368.022120443631</v>
      </c>
      <c r="T65" s="3">
        <v>13204.740949031249</v>
      </c>
      <c r="U65" s="3">
        <v>35308.154917544562</v>
      </c>
      <c r="V65" s="3">
        <v>5668.9490000000005</v>
      </c>
      <c r="W65" s="3">
        <v>0</v>
      </c>
      <c r="X65" s="3">
        <v>-82011.153025397827</v>
      </c>
      <c r="Y65" s="3">
        <v>154010.29412671231</v>
      </c>
      <c r="Z65" s="3">
        <v>186543.62525040505</v>
      </c>
      <c r="AA65" s="3">
        <v>-32533.331123692773</v>
      </c>
      <c r="AB65" s="3">
        <v>1760</v>
      </c>
      <c r="AC65" s="3">
        <v>0</v>
      </c>
      <c r="AD65" s="3">
        <v>1760</v>
      </c>
      <c r="AE65" s="3">
        <v>-112784.4841490906</v>
      </c>
      <c r="AF65" s="3">
        <v>0</v>
      </c>
      <c r="AG65" s="3">
        <v>-112784.4841490906</v>
      </c>
      <c r="AH65" s="3">
        <v>-112784.4841490906</v>
      </c>
      <c r="AI65" s="3">
        <v>165000000.00000003</v>
      </c>
      <c r="AJ65" s="3">
        <v>-316438.35616438353</v>
      </c>
    </row>
    <row r="66" spans="1:36" x14ac:dyDescent="0.2">
      <c r="A66" s="3" t="s">
        <v>36</v>
      </c>
      <c r="B66" s="3" t="s">
        <v>37</v>
      </c>
      <c r="C66" s="3" t="s">
        <v>52</v>
      </c>
      <c r="D66" s="3">
        <v>3</v>
      </c>
      <c r="E66" s="3">
        <v>2022</v>
      </c>
      <c r="F66" s="3">
        <v>1</v>
      </c>
      <c r="G66" s="3" t="s">
        <v>39</v>
      </c>
      <c r="H66" s="3" t="s">
        <v>46</v>
      </c>
      <c r="I66" s="5">
        <v>324880613.40047109</v>
      </c>
      <c r="J66" s="3">
        <v>0</v>
      </c>
      <c r="K66" s="3">
        <v>324880613.40047109</v>
      </c>
      <c r="L66" s="3">
        <v>324156569.74989802</v>
      </c>
      <c r="M66" s="3">
        <v>724043.65057304385</v>
      </c>
      <c r="N66" s="3">
        <v>891268.40685844014</v>
      </c>
      <c r="O66" s="3">
        <f t="shared" si="1"/>
        <v>0.27433720883794283</v>
      </c>
      <c r="P66" s="3">
        <v>62920</v>
      </c>
      <c r="Q66" s="3">
        <v>28429.076000000001</v>
      </c>
      <c r="R66" s="3">
        <v>637022.39627984061</v>
      </c>
      <c r="S66" s="3">
        <v>50506.234102866765</v>
      </c>
      <c r="T66" s="3">
        <v>24802.335418428407</v>
      </c>
      <c r="U66" s="3">
        <v>72404.365057304371</v>
      </c>
      <c r="V66" s="3">
        <v>15184</v>
      </c>
      <c r="W66" s="3">
        <v>0</v>
      </c>
      <c r="X66" s="3">
        <v>-167224.75628539635</v>
      </c>
      <c r="Y66" s="3">
        <v>572001.12754665688</v>
      </c>
      <c r="Z66" s="3">
        <v>675158.16310533776</v>
      </c>
      <c r="AA66" s="3">
        <v>-103157.0355586808</v>
      </c>
      <c r="AB66" s="3">
        <v>14430</v>
      </c>
      <c r="AC66" s="3">
        <v>0</v>
      </c>
      <c r="AD66" s="3">
        <v>14430</v>
      </c>
      <c r="AE66" s="3">
        <v>-255951.7918440772</v>
      </c>
      <c r="AF66" s="3">
        <v>0</v>
      </c>
      <c r="AG66" s="3">
        <v>-255951.7918440772</v>
      </c>
      <c r="AH66" s="3">
        <v>-255951.7918440772</v>
      </c>
      <c r="AI66" s="3">
        <v>390000000</v>
      </c>
      <c r="AJ66" s="3">
        <v>-747945.20547945192</v>
      </c>
    </row>
    <row r="67" spans="1:36" x14ac:dyDescent="0.2">
      <c r="A67" s="3" t="s">
        <v>36</v>
      </c>
      <c r="B67" s="3" t="s">
        <v>37</v>
      </c>
      <c r="C67" s="3" t="s">
        <v>52</v>
      </c>
      <c r="D67" s="3">
        <v>1</v>
      </c>
      <c r="E67" s="3">
        <v>2022</v>
      </c>
      <c r="F67" s="3">
        <v>1</v>
      </c>
      <c r="G67" s="3" t="s">
        <v>39</v>
      </c>
      <c r="H67" s="3" t="s">
        <v>46</v>
      </c>
      <c r="I67" s="5">
        <v>383694514.7747798</v>
      </c>
      <c r="J67" s="3">
        <v>0</v>
      </c>
      <c r="K67" s="3">
        <v>383694514.7747798</v>
      </c>
      <c r="L67" s="3">
        <v>383274341.81824994</v>
      </c>
      <c r="M67" s="3">
        <v>420172.95652986149</v>
      </c>
      <c r="N67" s="3">
        <v>844132.39633291122</v>
      </c>
      <c r="O67" s="3">
        <f t="shared" si="1"/>
        <v>0.2200011633808209</v>
      </c>
      <c r="P67" s="3">
        <v>58080</v>
      </c>
      <c r="Q67" s="3">
        <v>207669.16003506572</v>
      </c>
      <c r="R67" s="3">
        <v>431047.37424819497</v>
      </c>
      <c r="S67" s="3">
        <v>46621.13917187701</v>
      </c>
      <c r="T67" s="3">
        <v>31984.059224787201</v>
      </c>
      <c r="U67" s="3">
        <v>42017.295652986148</v>
      </c>
      <c r="V67" s="3">
        <v>26713.368000000002</v>
      </c>
      <c r="W67" s="3">
        <v>0</v>
      </c>
      <c r="X67" s="3">
        <v>-423959.43980304961</v>
      </c>
      <c r="Y67" s="3">
        <v>306979.16419187258</v>
      </c>
      <c r="Z67" s="3">
        <v>416639.19537968957</v>
      </c>
      <c r="AA67" s="3">
        <v>-109660.03118781695</v>
      </c>
      <c r="AB67" s="3">
        <v>240</v>
      </c>
      <c r="AC67" s="3">
        <v>0</v>
      </c>
      <c r="AD67" s="3">
        <v>240</v>
      </c>
      <c r="AE67" s="3">
        <v>-533379.47099086642</v>
      </c>
      <c r="AF67" s="3">
        <v>0</v>
      </c>
      <c r="AG67" s="3">
        <v>-533379.47099086642</v>
      </c>
      <c r="AH67" s="3">
        <v>-533379.47099086642</v>
      </c>
      <c r="AI67" s="3">
        <v>600000000</v>
      </c>
      <c r="AJ67" s="3">
        <v>-1150684.9315068494</v>
      </c>
    </row>
    <row r="68" spans="1:36" x14ac:dyDescent="0.2">
      <c r="A68" s="3" t="s">
        <v>36</v>
      </c>
      <c r="B68" s="3" t="s">
        <v>37</v>
      </c>
      <c r="C68" s="3" t="s">
        <v>53</v>
      </c>
      <c r="D68" s="3">
        <v>3</v>
      </c>
      <c r="E68" s="3">
        <v>2022</v>
      </c>
      <c r="F68" s="3">
        <v>1</v>
      </c>
      <c r="G68" s="3" t="s">
        <v>42</v>
      </c>
      <c r="H68" s="3" t="s">
        <v>46</v>
      </c>
      <c r="I68" s="5">
        <v>139240</v>
      </c>
      <c r="J68" s="3">
        <v>0</v>
      </c>
      <c r="K68" s="3">
        <v>139240</v>
      </c>
      <c r="L68" s="3">
        <v>83544</v>
      </c>
      <c r="M68" s="3">
        <v>55696</v>
      </c>
      <c r="N68" s="3">
        <v>150349.40431860776</v>
      </c>
      <c r="O68" s="3">
        <f t="shared" si="1"/>
        <v>107.97860120554996</v>
      </c>
      <c r="P68" s="3">
        <v>25069</v>
      </c>
      <c r="Q68" s="3">
        <v>5790</v>
      </c>
      <c r="R68" s="3">
        <v>19075.686226234026</v>
      </c>
      <c r="S68" s="3">
        <v>92908.718092373761</v>
      </c>
      <c r="T68" s="3">
        <v>0</v>
      </c>
      <c r="U68" s="3">
        <v>5569.6</v>
      </c>
      <c r="V68" s="3">
        <v>1936.3999999999999</v>
      </c>
      <c r="W68" s="3">
        <v>0</v>
      </c>
      <c r="X68" s="3">
        <v>-94653.404318607791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-94653.404318607791</v>
      </c>
      <c r="AF68" s="3">
        <v>0</v>
      </c>
      <c r="AG68" s="3">
        <v>-94653.404318607791</v>
      </c>
      <c r="AH68" s="3">
        <v>-94653.404318607791</v>
      </c>
      <c r="AI68" s="3">
        <v>50000</v>
      </c>
      <c r="AJ68" s="3">
        <v>11333.333333333332</v>
      </c>
    </row>
    <row r="69" spans="1:36" x14ac:dyDescent="0.2">
      <c r="A69" s="3" t="s">
        <v>36</v>
      </c>
      <c r="B69" s="3" t="s">
        <v>37</v>
      </c>
      <c r="C69" s="3" t="s">
        <v>53</v>
      </c>
      <c r="D69" s="3">
        <v>1</v>
      </c>
      <c r="E69" s="3">
        <v>2022</v>
      </c>
      <c r="F69" s="3">
        <v>1</v>
      </c>
      <c r="G69" s="3" t="s">
        <v>42</v>
      </c>
      <c r="H69" s="3" t="s">
        <v>46</v>
      </c>
      <c r="I69" s="5">
        <v>960431</v>
      </c>
      <c r="J69" s="3">
        <v>82127.5</v>
      </c>
      <c r="K69" s="3">
        <v>878303.5</v>
      </c>
      <c r="L69" s="3">
        <v>576258.6</v>
      </c>
      <c r="M69" s="3">
        <v>302044.90000000002</v>
      </c>
      <c r="N69" s="3">
        <v>166883.33594548979</v>
      </c>
      <c r="O69" s="3">
        <f t="shared" si="1"/>
        <v>19.000645670373601</v>
      </c>
      <c r="P69" s="3">
        <v>47631.1</v>
      </c>
      <c r="Q69" s="3">
        <v>0</v>
      </c>
      <c r="R69" s="3">
        <v>55414.671569979677</v>
      </c>
      <c r="S69" s="3">
        <v>33633.074375510121</v>
      </c>
      <c r="T69" s="3">
        <v>0</v>
      </c>
      <c r="U69" s="3">
        <v>30204.49</v>
      </c>
      <c r="V69" s="3">
        <v>0</v>
      </c>
      <c r="W69" s="3">
        <v>0</v>
      </c>
      <c r="X69" s="3">
        <v>135161.56405451021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135161.56405451021</v>
      </c>
      <c r="AF69" s="3">
        <v>0</v>
      </c>
      <c r="AG69" s="3">
        <v>135161.56405451021</v>
      </c>
      <c r="AH69" s="3">
        <v>135161.56405451021</v>
      </c>
      <c r="AI69" s="3">
        <v>760000</v>
      </c>
      <c r="AJ69" s="3">
        <v>172266.66666666663</v>
      </c>
    </row>
    <row r="70" spans="1:36" x14ac:dyDescent="0.2">
      <c r="A70" s="3" t="s">
        <v>36</v>
      </c>
      <c r="B70" s="3" t="s">
        <v>37</v>
      </c>
      <c r="C70" s="3" t="s">
        <v>53</v>
      </c>
      <c r="D70" s="3">
        <v>2</v>
      </c>
      <c r="E70" s="3">
        <v>2022</v>
      </c>
      <c r="F70" s="3">
        <v>1</v>
      </c>
      <c r="G70" s="3" t="s">
        <v>42</v>
      </c>
      <c r="H70" s="3" t="s">
        <v>46</v>
      </c>
      <c r="I70" s="5">
        <v>3669960</v>
      </c>
      <c r="J70" s="3">
        <v>113300</v>
      </c>
      <c r="K70" s="3">
        <v>3556660</v>
      </c>
      <c r="L70" s="3">
        <v>2260376</v>
      </c>
      <c r="M70" s="3">
        <v>1296284</v>
      </c>
      <c r="N70" s="3">
        <v>331166.46413611481</v>
      </c>
      <c r="O70" s="3">
        <f t="shared" si="1"/>
        <v>9.3111645233481646</v>
      </c>
      <c r="P70" s="3">
        <v>50138</v>
      </c>
      <c r="Q70" s="3">
        <v>426.4098695373209</v>
      </c>
      <c r="R70" s="3">
        <v>98456.51808182997</v>
      </c>
      <c r="S70" s="3">
        <v>48644.336184747503</v>
      </c>
      <c r="T70" s="3">
        <v>0</v>
      </c>
      <c r="U70" s="3">
        <v>129628.4</v>
      </c>
      <c r="V70" s="3">
        <v>3872.7999999999997</v>
      </c>
      <c r="W70" s="3">
        <v>0</v>
      </c>
      <c r="X70" s="3">
        <v>965117.53586388531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965117.53586388531</v>
      </c>
      <c r="AF70" s="3">
        <v>0</v>
      </c>
      <c r="AG70" s="3">
        <v>965117.53586388531</v>
      </c>
      <c r="AH70" s="3">
        <v>965117.53586388531</v>
      </c>
      <c r="AI70" s="3">
        <v>3200000</v>
      </c>
      <c r="AJ70" s="3">
        <v>725333.33333333326</v>
      </c>
    </row>
    <row r="71" spans="1:36" x14ac:dyDescent="0.2">
      <c r="A71" s="3" t="s">
        <v>36</v>
      </c>
      <c r="B71" s="3" t="s">
        <v>37</v>
      </c>
      <c r="C71" s="3" t="s">
        <v>53</v>
      </c>
      <c r="D71" s="3">
        <v>2</v>
      </c>
      <c r="E71" s="3">
        <v>2022</v>
      </c>
      <c r="F71" s="3">
        <v>1</v>
      </c>
      <c r="G71" s="3" t="s">
        <v>48</v>
      </c>
      <c r="H71" s="3" t="s">
        <v>46</v>
      </c>
      <c r="I71" s="5">
        <v>13833336</v>
      </c>
      <c r="J71" s="3">
        <v>68288.000000000015</v>
      </c>
      <c r="K71" s="3">
        <v>13765048</v>
      </c>
      <c r="L71" s="3">
        <v>8554601.0439999998</v>
      </c>
      <c r="M71" s="3">
        <v>5210446.9560000002</v>
      </c>
      <c r="N71" s="3">
        <v>3058649.4862728231</v>
      </c>
      <c r="O71" s="3">
        <f t="shared" si="1"/>
        <v>22.220405524723365</v>
      </c>
      <c r="P71" s="3">
        <v>1158187.8</v>
      </c>
      <c r="Q71" s="3">
        <v>285088.95288163167</v>
      </c>
      <c r="R71" s="3">
        <v>870264.56291576731</v>
      </c>
      <c r="S71" s="3">
        <v>196826.06971490124</v>
      </c>
      <c r="T71" s="3">
        <v>101986.77299798669</v>
      </c>
      <c r="U71" s="3">
        <v>427864.43995211006</v>
      </c>
      <c r="V71" s="3">
        <v>18430.887810425582</v>
      </c>
      <c r="W71" s="3">
        <v>0</v>
      </c>
      <c r="X71" s="3">
        <v>2151797.4697271776</v>
      </c>
      <c r="Y71" s="3">
        <v>0</v>
      </c>
      <c r="Z71" s="3">
        <v>514473.0571380608</v>
      </c>
      <c r="AA71" s="3">
        <v>-514473.0571380608</v>
      </c>
      <c r="AB71" s="3">
        <v>0</v>
      </c>
      <c r="AC71" s="3">
        <v>27944.979469581889</v>
      </c>
      <c r="AD71" s="3">
        <v>-27944.979469581889</v>
      </c>
      <c r="AE71" s="3">
        <v>1609379.433119535</v>
      </c>
      <c r="AF71" s="3">
        <v>0</v>
      </c>
      <c r="AG71" s="3">
        <v>1609379.433119535</v>
      </c>
      <c r="AH71" s="3">
        <v>1609379.433119535</v>
      </c>
      <c r="AI71" s="3">
        <v>9240000.0000000019</v>
      </c>
      <c r="AJ71" s="3">
        <v>543980.09066460782</v>
      </c>
    </row>
    <row r="72" spans="1:36" x14ac:dyDescent="0.2">
      <c r="A72" s="3" t="s">
        <v>36</v>
      </c>
      <c r="B72" s="3" t="s">
        <v>37</v>
      </c>
      <c r="C72" s="3" t="s">
        <v>53</v>
      </c>
      <c r="D72" s="3">
        <v>1</v>
      </c>
      <c r="E72" s="3">
        <v>2022</v>
      </c>
      <c r="F72" s="3">
        <v>1</v>
      </c>
      <c r="G72" s="3" t="s">
        <v>48</v>
      </c>
      <c r="H72" s="3" t="s">
        <v>46</v>
      </c>
      <c r="I72" s="5">
        <v>16163280</v>
      </c>
      <c r="J72" s="3">
        <v>746223.3</v>
      </c>
      <c r="K72" s="3">
        <v>15417056.699999999</v>
      </c>
      <c r="L72" s="3">
        <v>9584869.4820000008</v>
      </c>
      <c r="M72" s="3">
        <v>5832187.2180000003</v>
      </c>
      <c r="N72" s="3">
        <v>7105550.8628942594</v>
      </c>
      <c r="O72" s="3">
        <f t="shared" si="1"/>
        <v>46.08889362711016</v>
      </c>
      <c r="P72" s="3">
        <v>2842824.6</v>
      </c>
      <c r="Q72" s="3">
        <v>704991.40094649792</v>
      </c>
      <c r="R72" s="3">
        <v>2049679.3981217893</v>
      </c>
      <c r="S72" s="3">
        <v>712229.76038512529</v>
      </c>
      <c r="T72" s="3">
        <v>194984.14746022358</v>
      </c>
      <c r="U72" s="3">
        <v>436905.15008437273</v>
      </c>
      <c r="V72" s="3">
        <v>163936.40589625065</v>
      </c>
      <c r="W72" s="3">
        <v>0</v>
      </c>
      <c r="X72" s="3">
        <v>-1273363.6448942588</v>
      </c>
      <c r="Y72" s="3">
        <v>0</v>
      </c>
      <c r="Z72" s="3">
        <v>992748.38877993927</v>
      </c>
      <c r="AA72" s="3">
        <v>-992748.38877993927</v>
      </c>
      <c r="AB72" s="3">
        <v>0</v>
      </c>
      <c r="AC72" s="3">
        <v>111761.44560580315</v>
      </c>
      <c r="AD72" s="3">
        <v>-111761.44560580315</v>
      </c>
      <c r="AE72" s="3">
        <v>-2377873.479280001</v>
      </c>
      <c r="AF72" s="3">
        <v>0</v>
      </c>
      <c r="AG72" s="3">
        <v>-2377873.479280001</v>
      </c>
      <c r="AH72" s="3">
        <v>-2377873.479280001</v>
      </c>
      <c r="AI72" s="3">
        <v>26460000.000000004</v>
      </c>
      <c r="AJ72" s="3">
        <v>3358888.6948349811</v>
      </c>
    </row>
    <row r="73" spans="1:36" x14ac:dyDescent="0.2">
      <c r="A73" s="3" t="s">
        <v>36</v>
      </c>
      <c r="B73" s="3" t="s">
        <v>37</v>
      </c>
      <c r="C73" s="3" t="s">
        <v>53</v>
      </c>
      <c r="D73" s="3">
        <v>3</v>
      </c>
      <c r="E73" s="3">
        <v>2022</v>
      </c>
      <c r="F73" s="3">
        <v>1</v>
      </c>
      <c r="G73" s="3" t="s">
        <v>48</v>
      </c>
      <c r="H73" s="3" t="s">
        <v>46</v>
      </c>
      <c r="I73" s="5">
        <v>24157830</v>
      </c>
      <c r="J73" s="3">
        <v>844244.25</v>
      </c>
      <c r="K73" s="3">
        <v>23313585.75</v>
      </c>
      <c r="L73" s="3">
        <v>14812834.905000001</v>
      </c>
      <c r="M73" s="3">
        <v>8500750.8450000007</v>
      </c>
      <c r="N73" s="3">
        <v>4579554.7619378343</v>
      </c>
      <c r="O73" s="3">
        <f t="shared" si="1"/>
        <v>19.643287871055332</v>
      </c>
      <c r="P73" s="3">
        <v>1579347</v>
      </c>
      <c r="Q73" s="3">
        <v>392544.10045805725</v>
      </c>
      <c r="R73" s="3">
        <v>1118540.2195765111</v>
      </c>
      <c r="S73" s="3">
        <v>308788.17977653875</v>
      </c>
      <c r="T73" s="3">
        <v>262592.79684415739</v>
      </c>
      <c r="U73" s="3">
        <v>655463.62679988041</v>
      </c>
      <c r="V73" s="3">
        <v>262278.83848268923</v>
      </c>
      <c r="W73" s="3">
        <v>0</v>
      </c>
      <c r="X73" s="3">
        <v>3921196.0830621654</v>
      </c>
      <c r="Y73" s="3">
        <v>0</v>
      </c>
      <c r="Z73" s="3">
        <v>536631.84871752711</v>
      </c>
      <c r="AA73" s="3">
        <v>-536631.84871752711</v>
      </c>
      <c r="AB73" s="3">
        <v>0</v>
      </c>
      <c r="AC73" s="3">
        <v>65771.107406498952</v>
      </c>
      <c r="AD73" s="3">
        <v>-65771.107406498952</v>
      </c>
      <c r="AE73" s="3">
        <v>-602402.95612402598</v>
      </c>
      <c r="AF73" s="3">
        <v>0</v>
      </c>
      <c r="AG73" s="3">
        <v>3318793.1269381391</v>
      </c>
      <c r="AH73" s="3">
        <v>3318793.1269381391</v>
      </c>
      <c r="AI73" s="3">
        <v>23100000</v>
      </c>
      <c r="AJ73" s="3">
        <v>4479726.0025761193</v>
      </c>
    </row>
    <row r="74" spans="1:36" x14ac:dyDescent="0.2">
      <c r="A74" s="3" t="s">
        <v>36</v>
      </c>
      <c r="B74" s="3" t="s">
        <v>37</v>
      </c>
      <c r="C74" s="3" t="s">
        <v>53</v>
      </c>
      <c r="D74" s="3">
        <v>3</v>
      </c>
      <c r="E74" s="3">
        <v>2022</v>
      </c>
      <c r="F74" s="3">
        <v>1</v>
      </c>
      <c r="G74" s="3" t="s">
        <v>39</v>
      </c>
      <c r="H74" s="3" t="s">
        <v>46</v>
      </c>
      <c r="I74" s="5">
        <v>99414706.97254993</v>
      </c>
      <c r="J74" s="3">
        <v>0</v>
      </c>
      <c r="K74" s="3">
        <v>99414706.97254993</v>
      </c>
      <c r="L74" s="3">
        <v>99198758.61151509</v>
      </c>
      <c r="M74" s="3">
        <v>215948.36103485108</v>
      </c>
      <c r="N74" s="3">
        <v>390251.77309657575</v>
      </c>
      <c r="O74" s="3">
        <f t="shared" si="1"/>
        <v>0.39254933699531075</v>
      </c>
      <c r="P74" s="3">
        <v>12534.5</v>
      </c>
      <c r="Q74" s="3">
        <v>17362.989999999998</v>
      </c>
      <c r="R74" s="3">
        <v>308048.13287548791</v>
      </c>
      <c r="S74" s="3">
        <v>19967.474869917263</v>
      </c>
      <c r="T74" s="3">
        <v>7589.609247685511</v>
      </c>
      <c r="U74" s="3">
        <v>21594.836103485108</v>
      </c>
      <c r="V74" s="3">
        <v>3154.23</v>
      </c>
      <c r="W74" s="3">
        <v>0</v>
      </c>
      <c r="X74" s="3">
        <v>-174303.41206172475</v>
      </c>
      <c r="Y74" s="3">
        <v>175034.52695382223</v>
      </c>
      <c r="Z74" s="3">
        <v>206600.97333202368</v>
      </c>
      <c r="AA74" s="3">
        <v>-31566.446378201472</v>
      </c>
      <c r="AB74" s="3">
        <v>800</v>
      </c>
      <c r="AC74" s="3">
        <v>0</v>
      </c>
      <c r="AD74" s="3">
        <v>800</v>
      </c>
      <c r="AE74" s="3">
        <v>-205069.8584399262</v>
      </c>
      <c r="AF74" s="3">
        <v>0</v>
      </c>
      <c r="AG74" s="3">
        <v>-205069.8584399262</v>
      </c>
      <c r="AH74" s="3">
        <v>-205069.8584399262</v>
      </c>
      <c r="AI74" s="3">
        <v>175000000</v>
      </c>
      <c r="AJ74" s="3">
        <v>-306109.32475884247</v>
      </c>
    </row>
    <row r="75" spans="1:36" x14ac:dyDescent="0.2">
      <c r="A75" s="3" t="s">
        <v>36</v>
      </c>
      <c r="B75" s="3" t="s">
        <v>37</v>
      </c>
      <c r="C75" s="3" t="s">
        <v>53</v>
      </c>
      <c r="D75" s="3">
        <v>1</v>
      </c>
      <c r="E75" s="3">
        <v>2022</v>
      </c>
      <c r="F75" s="3">
        <v>1</v>
      </c>
      <c r="G75" s="3" t="s">
        <v>39</v>
      </c>
      <c r="H75" s="3" t="s">
        <v>46</v>
      </c>
      <c r="I75" s="5">
        <v>188139957.5540399</v>
      </c>
      <c r="J75" s="3">
        <v>0</v>
      </c>
      <c r="K75" s="3">
        <v>188139957.5540399</v>
      </c>
      <c r="L75" s="3">
        <v>187933930.83444163</v>
      </c>
      <c r="M75" s="3">
        <v>206026.71959825137</v>
      </c>
      <c r="N75" s="3">
        <v>853231.63000221259</v>
      </c>
      <c r="O75" s="3">
        <f t="shared" si="1"/>
        <v>0.45350899463083849</v>
      </c>
      <c r="P75" s="3">
        <v>22562.1</v>
      </c>
      <c r="Q75" s="3">
        <v>51042.203782674231</v>
      </c>
      <c r="R75" s="3">
        <v>700177.45148207527</v>
      </c>
      <c r="S75" s="3">
        <v>35941.454765851071</v>
      </c>
      <c r="T75" s="3">
        <v>15682.99601178685</v>
      </c>
      <c r="U75" s="3">
        <v>20602.671959825133</v>
      </c>
      <c r="V75" s="3">
        <v>7222.7520000000004</v>
      </c>
      <c r="W75" s="3">
        <v>0</v>
      </c>
      <c r="X75" s="3">
        <v>-647204.91040396143</v>
      </c>
      <c r="Y75" s="3">
        <v>150523.51466357158</v>
      </c>
      <c r="Z75" s="3">
        <v>204293.98262337747</v>
      </c>
      <c r="AA75" s="3">
        <v>-53770.467959805886</v>
      </c>
      <c r="AB75" s="3">
        <v>1170</v>
      </c>
      <c r="AC75" s="3">
        <v>0</v>
      </c>
      <c r="AD75" s="3">
        <v>1170</v>
      </c>
      <c r="AE75" s="3">
        <v>-699805.37836376717</v>
      </c>
      <c r="AF75" s="3">
        <v>0</v>
      </c>
      <c r="AG75" s="3">
        <v>-699805.37836376717</v>
      </c>
      <c r="AH75" s="3">
        <v>-699805.37836376717</v>
      </c>
      <c r="AI75" s="3">
        <v>270000000</v>
      </c>
      <c r="AJ75" s="3">
        <v>-472282.95819935686</v>
      </c>
    </row>
    <row r="76" spans="1:36" x14ac:dyDescent="0.2">
      <c r="A76" s="3" t="s">
        <v>36</v>
      </c>
      <c r="B76" s="3" t="s">
        <v>37</v>
      </c>
      <c r="C76" s="3" t="s">
        <v>53</v>
      </c>
      <c r="D76" s="3">
        <v>2</v>
      </c>
      <c r="E76" s="3">
        <v>2022</v>
      </c>
      <c r="F76" s="3">
        <v>1</v>
      </c>
      <c r="G76" s="3" t="s">
        <v>39</v>
      </c>
      <c r="H76" s="3" t="s">
        <v>46</v>
      </c>
      <c r="I76" s="5">
        <v>556546123.20498598</v>
      </c>
      <c r="J76" s="3">
        <v>0</v>
      </c>
      <c r="K76" s="3">
        <v>556546123.20498598</v>
      </c>
      <c r="L76" s="3">
        <v>555429644.28670871</v>
      </c>
      <c r="M76" s="3">
        <v>1116478.9182771607</v>
      </c>
      <c r="N76" s="3">
        <v>1349468.1686326244</v>
      </c>
      <c r="O76" s="3">
        <f t="shared" si="1"/>
        <v>0.24247193761074695</v>
      </c>
      <c r="P76" s="3">
        <v>33843.15</v>
      </c>
      <c r="Q76" s="3">
        <v>46880.073000000011</v>
      </c>
      <c r="R76" s="3">
        <v>1047371.6015555472</v>
      </c>
      <c r="S76" s="3">
        <v>53912.182148776599</v>
      </c>
      <c r="T76" s="3">
        <v>50379.142100584584</v>
      </c>
      <c r="U76" s="3">
        <v>111647.89182771608</v>
      </c>
      <c r="V76" s="3">
        <v>5434.1280000000006</v>
      </c>
      <c r="W76" s="3">
        <v>0</v>
      </c>
      <c r="X76" s="3">
        <v>-232989.25035546371</v>
      </c>
      <c r="Y76" s="3">
        <v>587584.90777751221</v>
      </c>
      <c r="Z76" s="3">
        <v>711707.09374179924</v>
      </c>
      <c r="AA76" s="3">
        <v>-124122.18596428676</v>
      </c>
      <c r="AB76" s="3">
        <v>270</v>
      </c>
      <c r="AC76" s="3">
        <v>0</v>
      </c>
      <c r="AD76" s="3">
        <v>270</v>
      </c>
      <c r="AE76" s="3">
        <v>-356841.4363197505</v>
      </c>
      <c r="AF76" s="3">
        <v>0</v>
      </c>
      <c r="AG76" s="3">
        <v>-356841.4363197505</v>
      </c>
      <c r="AH76" s="3">
        <v>-356841.4363197505</v>
      </c>
      <c r="AI76" s="3">
        <v>540000000</v>
      </c>
      <c r="AJ76" s="3">
        <v>-944565.91639871383</v>
      </c>
    </row>
    <row r="77" spans="1:36" x14ac:dyDescent="0.2">
      <c r="A77" s="3" t="s">
        <v>36</v>
      </c>
      <c r="B77" s="3" t="s">
        <v>37</v>
      </c>
      <c r="C77" s="3" t="s">
        <v>54</v>
      </c>
      <c r="D77" s="3">
        <v>3</v>
      </c>
      <c r="E77" s="3">
        <v>2022</v>
      </c>
      <c r="F77" s="3">
        <v>1</v>
      </c>
      <c r="G77" s="3" t="s">
        <v>42</v>
      </c>
      <c r="H77" s="3" t="s">
        <v>46</v>
      </c>
      <c r="I77" s="5">
        <v>0</v>
      </c>
      <c r="J77" s="3">
        <v>0</v>
      </c>
      <c r="K77" s="3">
        <v>0</v>
      </c>
      <c r="L77" s="3">
        <v>0</v>
      </c>
      <c r="M77" s="3">
        <v>0</v>
      </c>
      <c r="N77" s="3">
        <v>25222.021834898242</v>
      </c>
      <c r="O77" s="3" t="e">
        <f t="shared" si="1"/>
        <v>#DIV/0!</v>
      </c>
      <c r="P77" s="3">
        <v>0</v>
      </c>
      <c r="Q77" s="3">
        <v>0</v>
      </c>
      <c r="R77" s="3">
        <v>25222.021834898242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-25222.021834898242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-25222.021834898242</v>
      </c>
      <c r="AF77" s="3">
        <v>0</v>
      </c>
      <c r="AG77" s="3">
        <v>-25222.021834898242</v>
      </c>
      <c r="AH77" s="3">
        <v>-25222.021834898242</v>
      </c>
      <c r="AI77" s="3">
        <v>115000</v>
      </c>
      <c r="AJ77" s="3">
        <v>26066.666666666664</v>
      </c>
    </row>
    <row r="78" spans="1:36" x14ac:dyDescent="0.2">
      <c r="A78" s="3" t="s">
        <v>36</v>
      </c>
      <c r="B78" s="3" t="s">
        <v>37</v>
      </c>
      <c r="C78" s="3" t="s">
        <v>54</v>
      </c>
      <c r="D78" s="3">
        <v>2</v>
      </c>
      <c r="E78" s="3">
        <v>2022</v>
      </c>
      <c r="F78" s="3">
        <v>1</v>
      </c>
      <c r="G78" s="3" t="s">
        <v>42</v>
      </c>
      <c r="H78" s="3" t="s">
        <v>46</v>
      </c>
      <c r="I78" s="5">
        <v>207000</v>
      </c>
      <c r="J78" s="3">
        <v>2625</v>
      </c>
      <c r="K78" s="3">
        <v>204375</v>
      </c>
      <c r="L78" s="3">
        <v>131400</v>
      </c>
      <c r="M78" s="3">
        <v>72975</v>
      </c>
      <c r="N78" s="3">
        <v>51689.571253680173</v>
      </c>
      <c r="O78" s="3">
        <f t="shared" si="1"/>
        <v>25.29153333513403</v>
      </c>
      <c r="P78" s="3">
        <v>0</v>
      </c>
      <c r="Q78" s="3">
        <v>0</v>
      </c>
      <c r="R78" s="3">
        <v>44392.071253680173</v>
      </c>
      <c r="S78" s="3">
        <v>0</v>
      </c>
      <c r="T78" s="3">
        <v>0</v>
      </c>
      <c r="U78" s="3">
        <v>7297.5</v>
      </c>
      <c r="V78" s="3">
        <v>0</v>
      </c>
      <c r="W78" s="3">
        <v>0</v>
      </c>
      <c r="X78" s="3">
        <v>21285.428746319831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21285.428746319831</v>
      </c>
      <c r="AF78" s="3">
        <v>0</v>
      </c>
      <c r="AG78" s="3">
        <v>21285.428746319831</v>
      </c>
      <c r="AH78" s="3">
        <v>21285.428746319831</v>
      </c>
      <c r="AI78" s="3">
        <v>0</v>
      </c>
      <c r="AJ78" s="3">
        <v>17000</v>
      </c>
    </row>
    <row r="79" spans="1:36" x14ac:dyDescent="0.2">
      <c r="A79" s="3" t="s">
        <v>36</v>
      </c>
      <c r="B79" s="3" t="s">
        <v>37</v>
      </c>
      <c r="C79" s="3" t="s">
        <v>54</v>
      </c>
      <c r="D79" s="3">
        <v>1</v>
      </c>
      <c r="E79" s="3">
        <v>2022</v>
      </c>
      <c r="F79" s="3">
        <v>1</v>
      </c>
      <c r="G79" s="3" t="s">
        <v>48</v>
      </c>
      <c r="H79" s="3" t="s">
        <v>46</v>
      </c>
      <c r="I79" s="5">
        <v>3128884.8689999999</v>
      </c>
      <c r="J79" s="3">
        <v>119862.65500000001</v>
      </c>
      <c r="K79" s="3">
        <v>3009022.2140000006</v>
      </c>
      <c r="L79" s="3">
        <v>1936320.1000000003</v>
      </c>
      <c r="M79" s="3">
        <v>1072702.1140000001</v>
      </c>
      <c r="N79" s="3">
        <v>1243730.6555707701</v>
      </c>
      <c r="O79" s="3">
        <f t="shared" si="1"/>
        <v>41.333382312170926</v>
      </c>
      <c r="P79" s="3">
        <v>249562.50000000003</v>
      </c>
      <c r="Q79" s="3">
        <v>327371.75900000002</v>
      </c>
      <c r="R79" s="3">
        <v>372910.61293282133</v>
      </c>
      <c r="S79" s="3">
        <v>73311.20597301214</v>
      </c>
      <c r="T79" s="3">
        <v>37318.261866493391</v>
      </c>
      <c r="U79" s="3">
        <v>83619.827632368528</v>
      </c>
      <c r="V79" s="3">
        <v>99636.48816607456</v>
      </c>
      <c r="W79" s="3">
        <v>0</v>
      </c>
      <c r="X79" s="3">
        <v>-171028.54157076991</v>
      </c>
      <c r="Y79" s="3">
        <v>0</v>
      </c>
      <c r="Z79" s="3">
        <v>54554.714230550773</v>
      </c>
      <c r="AA79" s="3">
        <v>-54554.714230550773</v>
      </c>
      <c r="AB79" s="3">
        <v>0</v>
      </c>
      <c r="AC79" s="3">
        <v>34963.460339327539</v>
      </c>
      <c r="AD79" s="3">
        <v>-34963.460339327539</v>
      </c>
      <c r="AE79" s="3">
        <v>-260546.71614064823</v>
      </c>
      <c r="AF79" s="3">
        <v>0</v>
      </c>
      <c r="AG79" s="3">
        <v>-260546.71614064823</v>
      </c>
      <c r="AH79" s="3">
        <v>-260546.71614064823</v>
      </c>
      <c r="AI79" s="3">
        <v>3465000.0000000009</v>
      </c>
      <c r="AJ79" s="3">
        <v>34650.000000000007</v>
      </c>
    </row>
    <row r="80" spans="1:36" x14ac:dyDescent="0.2">
      <c r="A80" s="3" t="s">
        <v>36</v>
      </c>
      <c r="B80" s="3" t="s">
        <v>37</v>
      </c>
      <c r="C80" s="3" t="s">
        <v>54</v>
      </c>
      <c r="D80" s="3">
        <v>3</v>
      </c>
      <c r="E80" s="3">
        <v>2022</v>
      </c>
      <c r="F80" s="3">
        <v>1</v>
      </c>
      <c r="G80" s="3" t="s">
        <v>48</v>
      </c>
      <c r="H80" s="3" t="s">
        <v>46</v>
      </c>
      <c r="I80" s="5">
        <v>3370097.4190000002</v>
      </c>
      <c r="J80" s="3">
        <v>168802.56900000005</v>
      </c>
      <c r="K80" s="3">
        <v>3201294.8499999996</v>
      </c>
      <c r="L80" s="3">
        <v>2267032.56</v>
      </c>
      <c r="M80" s="3">
        <v>934262.29</v>
      </c>
      <c r="N80" s="3">
        <v>1397536.6238890002</v>
      </c>
      <c r="O80" s="3">
        <f t="shared" ref="O80:O143" si="2">N80/K80*100</f>
        <v>43.65535476649395</v>
      </c>
      <c r="P80" s="3">
        <v>294937.5</v>
      </c>
      <c r="Q80" s="3">
        <v>378698.13800000004</v>
      </c>
      <c r="R80" s="3">
        <v>531872.06559464696</v>
      </c>
      <c r="S80" s="3">
        <v>49503.39675573742</v>
      </c>
      <c r="T80" s="3">
        <v>36632.566207001466</v>
      </c>
      <c r="U80" s="3">
        <v>91439.350178664885</v>
      </c>
      <c r="V80" s="3">
        <v>14453.607152949373</v>
      </c>
      <c r="W80" s="3">
        <v>0</v>
      </c>
      <c r="X80" s="3">
        <v>-463274.33388900012</v>
      </c>
      <c r="Y80" s="3">
        <v>0</v>
      </c>
      <c r="Z80" s="3">
        <v>48729.047249726413</v>
      </c>
      <c r="AA80" s="3">
        <v>-48729.047249726413</v>
      </c>
      <c r="AB80" s="3">
        <v>0</v>
      </c>
      <c r="AC80" s="3">
        <v>28681.569458486192</v>
      </c>
      <c r="AD80" s="3">
        <v>-28681.569458486192</v>
      </c>
      <c r="AE80" s="3">
        <v>-77410.616708212605</v>
      </c>
      <c r="AF80" s="3">
        <v>0</v>
      </c>
      <c r="AG80" s="3">
        <v>-540684.95059721265</v>
      </c>
      <c r="AH80" s="3">
        <v>-540684.95059721265</v>
      </c>
      <c r="AI80" s="3">
        <v>6435000</v>
      </c>
      <c r="AJ80" s="3">
        <v>321750</v>
      </c>
    </row>
    <row r="81" spans="1:36" x14ac:dyDescent="0.2">
      <c r="A81" s="3" t="s">
        <v>36</v>
      </c>
      <c r="B81" s="3" t="s">
        <v>37</v>
      </c>
      <c r="C81" s="3" t="s">
        <v>54</v>
      </c>
      <c r="D81" s="3">
        <v>2</v>
      </c>
      <c r="E81" s="3">
        <v>2022</v>
      </c>
      <c r="F81" s="3">
        <v>1</v>
      </c>
      <c r="G81" s="3" t="s">
        <v>48</v>
      </c>
      <c r="H81" s="3" t="s">
        <v>46</v>
      </c>
      <c r="I81" s="5">
        <v>3548311.5980000002</v>
      </c>
      <c r="J81" s="3">
        <v>11531.598000000002</v>
      </c>
      <c r="K81" s="3">
        <v>3536780</v>
      </c>
      <c r="L81" s="3">
        <v>2368555.5530000003</v>
      </c>
      <c r="M81" s="3">
        <v>1168224.4470000002</v>
      </c>
      <c r="N81" s="3">
        <v>1365272.9781643269</v>
      </c>
      <c r="O81" s="3">
        <f t="shared" si="2"/>
        <v>38.602145967923555</v>
      </c>
      <c r="P81" s="3">
        <v>294937.5</v>
      </c>
      <c r="Q81" s="3">
        <v>389484.22499999998</v>
      </c>
      <c r="R81" s="3">
        <v>390866.69148978166</v>
      </c>
      <c r="S81" s="3">
        <v>69150.052429454925</v>
      </c>
      <c r="T81" s="3">
        <v>25931.732198750666</v>
      </c>
      <c r="U81" s="3">
        <v>108791.2260389451</v>
      </c>
      <c r="V81" s="3">
        <v>86111.551007394533</v>
      </c>
      <c r="W81" s="3">
        <v>0</v>
      </c>
      <c r="X81" s="3">
        <v>-197048.53116432694</v>
      </c>
      <c r="Y81" s="3">
        <v>0</v>
      </c>
      <c r="Z81" s="3">
        <v>49263.347695204873</v>
      </c>
      <c r="AA81" s="3">
        <v>-49263.347695204873</v>
      </c>
      <c r="AB81" s="3">
        <v>0</v>
      </c>
      <c r="AC81" s="3">
        <v>25718.425697524526</v>
      </c>
      <c r="AD81" s="3">
        <v>-25718.425697524526</v>
      </c>
      <c r="AE81" s="3">
        <v>-272030.30455705628</v>
      </c>
      <c r="AF81" s="3">
        <v>0</v>
      </c>
      <c r="AG81" s="3">
        <v>-272030.30455705628</v>
      </c>
      <c r="AH81" s="3">
        <v>-272030.30455705628</v>
      </c>
      <c r="AI81" s="3">
        <v>3510000</v>
      </c>
      <c r="AJ81" s="3">
        <v>35100</v>
      </c>
    </row>
    <row r="82" spans="1:36" x14ac:dyDescent="0.2">
      <c r="A82" s="3" t="s">
        <v>36</v>
      </c>
      <c r="B82" s="3" t="s">
        <v>37</v>
      </c>
      <c r="C82" s="3" t="s">
        <v>54</v>
      </c>
      <c r="D82" s="3">
        <v>3</v>
      </c>
      <c r="E82" s="3">
        <v>2022</v>
      </c>
      <c r="F82" s="3">
        <v>1</v>
      </c>
      <c r="G82" s="3" t="s">
        <v>39</v>
      </c>
      <c r="H82" s="3" t="s">
        <v>46</v>
      </c>
      <c r="I82" s="5">
        <v>42311661.233222149</v>
      </c>
      <c r="J82" s="3">
        <v>0</v>
      </c>
      <c r="K82" s="3">
        <v>42311661.233222149</v>
      </c>
      <c r="L82" s="3">
        <v>42134519.839977093</v>
      </c>
      <c r="M82" s="3">
        <v>177141.39324505808</v>
      </c>
      <c r="N82" s="3">
        <v>991297.33521908778</v>
      </c>
      <c r="O82" s="3">
        <f t="shared" si="2"/>
        <v>2.3428466439902951</v>
      </c>
      <c r="P82" s="3">
        <v>72600</v>
      </c>
      <c r="Q82" s="3">
        <v>59113.83</v>
      </c>
      <c r="R82" s="3">
        <v>778569.15908917994</v>
      </c>
      <c r="S82" s="3">
        <v>47699.810940425465</v>
      </c>
      <c r="T82" s="3">
        <v>3230.1958649766821</v>
      </c>
      <c r="U82" s="3">
        <v>17714.139324505806</v>
      </c>
      <c r="V82" s="3">
        <v>12370.2</v>
      </c>
      <c r="W82" s="3">
        <v>0</v>
      </c>
      <c r="X82" s="3">
        <v>-814155.94197402988</v>
      </c>
      <c r="Y82" s="3">
        <v>74496.036191429288</v>
      </c>
      <c r="Z82" s="3">
        <v>0</v>
      </c>
      <c r="AA82" s="3">
        <v>74496.036191429288</v>
      </c>
      <c r="AB82" s="3">
        <v>8550</v>
      </c>
      <c r="AC82" s="3">
        <v>0</v>
      </c>
      <c r="AD82" s="3">
        <v>8550</v>
      </c>
      <c r="AE82" s="3">
        <v>-731109.90578260063</v>
      </c>
      <c r="AF82" s="3">
        <v>0</v>
      </c>
      <c r="AG82" s="3">
        <v>-731109.90578260063</v>
      </c>
      <c r="AH82" s="3">
        <v>-731109.90578260063</v>
      </c>
      <c r="AI82" s="3">
        <v>93750000</v>
      </c>
      <c r="AJ82" s="3">
        <v>0</v>
      </c>
    </row>
    <row r="83" spans="1:36" x14ac:dyDescent="0.2">
      <c r="A83" s="3" t="s">
        <v>36</v>
      </c>
      <c r="B83" s="3" t="s">
        <v>37</v>
      </c>
      <c r="C83" s="3" t="s">
        <v>54</v>
      </c>
      <c r="D83" s="3">
        <v>2</v>
      </c>
      <c r="E83" s="3">
        <v>2022</v>
      </c>
      <c r="F83" s="3">
        <v>1</v>
      </c>
      <c r="G83" s="3" t="s">
        <v>39</v>
      </c>
      <c r="H83" s="3" t="s">
        <v>46</v>
      </c>
      <c r="I83" s="5">
        <v>108820310.52290224</v>
      </c>
      <c r="J83" s="3">
        <v>0</v>
      </c>
      <c r="K83" s="3">
        <v>108820310.52290224</v>
      </c>
      <c r="L83" s="3">
        <v>108599794.28718519</v>
      </c>
      <c r="M83" s="3">
        <v>220516.23571704671</v>
      </c>
      <c r="N83" s="3">
        <v>352538.92493139225</v>
      </c>
      <c r="O83" s="3">
        <f t="shared" si="2"/>
        <v>0.3239642703070556</v>
      </c>
      <c r="P83" s="3">
        <v>26620</v>
      </c>
      <c r="Q83" s="3">
        <v>21675.071000000004</v>
      </c>
      <c r="R83" s="3">
        <v>250451.77039261613</v>
      </c>
      <c r="S83" s="3">
        <v>17489.930678156008</v>
      </c>
      <c r="T83" s="3">
        <v>9850.529288915397</v>
      </c>
      <c r="U83" s="3">
        <v>22051.623571704677</v>
      </c>
      <c r="V83" s="3">
        <v>4400.0000000000009</v>
      </c>
      <c r="W83" s="3">
        <v>0</v>
      </c>
      <c r="X83" s="3">
        <v>-132022.68921434548</v>
      </c>
      <c r="Y83" s="3">
        <v>114889.25977006416</v>
      </c>
      <c r="Z83" s="3">
        <v>0</v>
      </c>
      <c r="AA83" s="3">
        <v>114889.25977006416</v>
      </c>
      <c r="AB83" s="3">
        <v>0</v>
      </c>
      <c r="AC83" s="3">
        <v>0</v>
      </c>
      <c r="AD83" s="3">
        <v>0</v>
      </c>
      <c r="AE83" s="3">
        <v>-17133.429444281297</v>
      </c>
      <c r="AF83" s="3">
        <v>0</v>
      </c>
      <c r="AG83" s="3">
        <v>-17133.429444281297</v>
      </c>
      <c r="AH83" s="3">
        <v>-17133.429444281297</v>
      </c>
      <c r="AI83" s="3">
        <v>143000000.00000003</v>
      </c>
      <c r="AJ83" s="3">
        <v>0</v>
      </c>
    </row>
    <row r="84" spans="1:36" x14ac:dyDescent="0.2">
      <c r="A84" s="3" t="s">
        <v>36</v>
      </c>
      <c r="B84" s="3" t="s">
        <v>37</v>
      </c>
      <c r="C84" s="3" t="s">
        <v>54</v>
      </c>
      <c r="D84" s="3">
        <v>1</v>
      </c>
      <c r="E84" s="3">
        <v>2022</v>
      </c>
      <c r="F84" s="3">
        <v>1</v>
      </c>
      <c r="G84" s="3" t="s">
        <v>39</v>
      </c>
      <c r="H84" s="3" t="s">
        <v>46</v>
      </c>
      <c r="I84" s="5">
        <v>297663902.22345001</v>
      </c>
      <c r="J84" s="3">
        <v>0</v>
      </c>
      <c r="K84" s="3">
        <v>297663902.22345001</v>
      </c>
      <c r="L84" s="3">
        <v>297337938.94528621</v>
      </c>
      <c r="M84" s="3">
        <v>325963.27816378785</v>
      </c>
      <c r="N84" s="3">
        <v>940348.5363216144</v>
      </c>
      <c r="O84" s="3">
        <f t="shared" si="2"/>
        <v>0.31590949701912951</v>
      </c>
      <c r="P84" s="3">
        <v>58080</v>
      </c>
      <c r="Q84" s="3">
        <v>207669.16003506572</v>
      </c>
      <c r="R84" s="3">
        <v>570466.7399224512</v>
      </c>
      <c r="S84" s="3">
        <v>38159.848752340375</v>
      </c>
      <c r="T84" s="3">
        <v>24812.707795378345</v>
      </c>
      <c r="U84" s="3">
        <v>32596.327816378784</v>
      </c>
      <c r="V84" s="3">
        <v>8563.7520000000004</v>
      </c>
      <c r="W84" s="3">
        <v>0</v>
      </c>
      <c r="X84" s="3">
        <v>-614385.25815782649</v>
      </c>
      <c r="Y84" s="3">
        <v>238149.39332213812</v>
      </c>
      <c r="Z84" s="3">
        <v>0</v>
      </c>
      <c r="AA84" s="3">
        <v>238149.39332213812</v>
      </c>
      <c r="AB84" s="3">
        <v>120</v>
      </c>
      <c r="AC84" s="3">
        <v>0</v>
      </c>
      <c r="AD84" s="3">
        <v>120</v>
      </c>
      <c r="AE84" s="3">
        <v>-376115.86483568838</v>
      </c>
      <c r="AF84" s="3">
        <v>0</v>
      </c>
      <c r="AG84" s="3">
        <v>-376115.86483568838</v>
      </c>
      <c r="AH84" s="3">
        <v>-376115.86483568838</v>
      </c>
      <c r="AI84" s="3">
        <v>120000000</v>
      </c>
      <c r="AJ84" s="3">
        <v>0</v>
      </c>
    </row>
    <row r="85" spans="1:36" x14ac:dyDescent="0.2">
      <c r="A85" s="3" t="s">
        <v>36</v>
      </c>
      <c r="B85" s="3" t="s">
        <v>37</v>
      </c>
      <c r="C85" s="3" t="s">
        <v>55</v>
      </c>
      <c r="D85" s="3">
        <v>3</v>
      </c>
      <c r="E85" s="3">
        <v>2022</v>
      </c>
      <c r="F85" s="3">
        <v>1</v>
      </c>
      <c r="G85" s="3" t="s">
        <v>42</v>
      </c>
      <c r="H85" s="3" t="s">
        <v>46</v>
      </c>
      <c r="I85" s="5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 t="e">
        <f t="shared" si="2"/>
        <v>#DIV/0!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1:36" x14ac:dyDescent="0.2">
      <c r="A86" s="3" t="s">
        <v>36</v>
      </c>
      <c r="B86" s="3" t="s">
        <v>37</v>
      </c>
      <c r="C86" s="3" t="s">
        <v>55</v>
      </c>
      <c r="D86" s="3">
        <v>2</v>
      </c>
      <c r="E86" s="3">
        <v>2022</v>
      </c>
      <c r="F86" s="3">
        <v>1</v>
      </c>
      <c r="G86" s="3" t="s">
        <v>42</v>
      </c>
      <c r="H86" s="3" t="s">
        <v>46</v>
      </c>
      <c r="I86" s="5">
        <v>409710</v>
      </c>
      <c r="J86" s="3">
        <v>0</v>
      </c>
      <c r="K86" s="3">
        <v>409710</v>
      </c>
      <c r="L86" s="3">
        <v>251826</v>
      </c>
      <c r="M86" s="3">
        <v>157884</v>
      </c>
      <c r="N86" s="3">
        <v>86323.486253680181</v>
      </c>
      <c r="O86" s="3">
        <f t="shared" si="2"/>
        <v>21.069411596905173</v>
      </c>
      <c r="P86" s="3">
        <v>37603.5</v>
      </c>
      <c r="Q86" s="3">
        <v>6567.9750000000004</v>
      </c>
      <c r="R86" s="3">
        <v>23833.321253680169</v>
      </c>
      <c r="S86" s="3">
        <v>0</v>
      </c>
      <c r="T86" s="3">
        <v>0</v>
      </c>
      <c r="U86" s="3">
        <v>15788.4</v>
      </c>
      <c r="V86" s="3">
        <v>2530.29</v>
      </c>
      <c r="W86" s="3">
        <v>0</v>
      </c>
      <c r="X86" s="3">
        <v>71560.513746319833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71560.513746319833</v>
      </c>
      <c r="AF86" s="3">
        <v>0</v>
      </c>
      <c r="AG86" s="3">
        <v>71560.513746319833</v>
      </c>
      <c r="AH86" s="3">
        <v>71560.513746319833</v>
      </c>
      <c r="AI86" s="3">
        <v>75000</v>
      </c>
      <c r="AJ86" s="3">
        <v>0</v>
      </c>
    </row>
    <row r="87" spans="1:36" x14ac:dyDescent="0.2">
      <c r="A87" s="3" t="s">
        <v>36</v>
      </c>
      <c r="B87" s="3" t="s">
        <v>37</v>
      </c>
      <c r="C87" s="3" t="s">
        <v>55</v>
      </c>
      <c r="D87" s="3">
        <v>1</v>
      </c>
      <c r="E87" s="3">
        <v>2022</v>
      </c>
      <c r="F87" s="3">
        <v>1</v>
      </c>
      <c r="G87" s="3" t="s">
        <v>48</v>
      </c>
      <c r="H87" s="3" t="s">
        <v>46</v>
      </c>
      <c r="I87" s="5">
        <v>2994824</v>
      </c>
      <c r="J87" s="3">
        <v>212034.19999999998</v>
      </c>
      <c r="K87" s="3">
        <v>2782789.8</v>
      </c>
      <c r="L87" s="3">
        <v>1890628.7119999998</v>
      </c>
      <c r="M87" s="3">
        <v>892161.08799999999</v>
      </c>
      <c r="N87" s="3">
        <v>0</v>
      </c>
      <c r="O87" s="3">
        <f t="shared" si="2"/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892161.08799999999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892161.08799999999</v>
      </c>
      <c r="AF87" s="3">
        <v>0</v>
      </c>
      <c r="AG87" s="3">
        <v>892161.08799999999</v>
      </c>
      <c r="AH87" s="3">
        <v>892161.08799999999</v>
      </c>
      <c r="AI87" s="3">
        <v>0</v>
      </c>
      <c r="AJ87" s="3">
        <v>0</v>
      </c>
    </row>
    <row r="88" spans="1:36" x14ac:dyDescent="0.2">
      <c r="A88" s="3" t="s">
        <v>36</v>
      </c>
      <c r="B88" s="3" t="s">
        <v>37</v>
      </c>
      <c r="C88" s="3" t="s">
        <v>55</v>
      </c>
      <c r="D88" s="3">
        <v>2</v>
      </c>
      <c r="E88" s="3">
        <v>2022</v>
      </c>
      <c r="F88" s="3">
        <v>1</v>
      </c>
      <c r="G88" s="3" t="s">
        <v>48</v>
      </c>
      <c r="H88" s="3" t="s">
        <v>46</v>
      </c>
      <c r="I88" s="5">
        <v>4289655</v>
      </c>
      <c r="J88" s="3">
        <v>0</v>
      </c>
      <c r="K88" s="3">
        <v>4289655</v>
      </c>
      <c r="L88" s="3">
        <v>2942132.43</v>
      </c>
      <c r="M88" s="3">
        <v>1347522.57</v>
      </c>
      <c r="N88" s="3">
        <v>868668.07244531519</v>
      </c>
      <c r="O88" s="3">
        <f t="shared" si="2"/>
        <v>20.250301538126379</v>
      </c>
      <c r="P88" s="3">
        <v>420000</v>
      </c>
      <c r="Q88" s="3">
        <v>178323.95529985288</v>
      </c>
      <c r="R88" s="3">
        <v>74662.990438656881</v>
      </c>
      <c r="S88" s="3">
        <v>24517.258228868312</v>
      </c>
      <c r="T88" s="3">
        <v>31349.609980062349</v>
      </c>
      <c r="U88" s="3">
        <v>131520.81316565679</v>
      </c>
      <c r="V88" s="3">
        <v>8293.4453322178942</v>
      </c>
      <c r="W88" s="3">
        <v>0</v>
      </c>
      <c r="X88" s="3">
        <v>478854.49755468487</v>
      </c>
      <c r="Y88" s="3">
        <v>0</v>
      </c>
      <c r="Z88" s="3">
        <v>168033.45010392834</v>
      </c>
      <c r="AA88" s="3">
        <v>-168033.45010392834</v>
      </c>
      <c r="AB88" s="3">
        <v>0</v>
      </c>
      <c r="AC88" s="3">
        <v>20255.007089385719</v>
      </c>
      <c r="AD88" s="3">
        <v>-20255.007089385719</v>
      </c>
      <c r="AE88" s="3">
        <v>290566.04036137083</v>
      </c>
      <c r="AF88" s="3">
        <v>0</v>
      </c>
      <c r="AG88" s="3">
        <v>290566.04036137083</v>
      </c>
      <c r="AH88" s="3">
        <v>290566.04036137083</v>
      </c>
      <c r="AI88" s="3">
        <v>4500000</v>
      </c>
      <c r="AJ88" s="3">
        <v>0</v>
      </c>
    </row>
    <row r="89" spans="1:36" x14ac:dyDescent="0.2">
      <c r="A89" s="3" t="s">
        <v>36</v>
      </c>
      <c r="B89" s="3" t="s">
        <v>37</v>
      </c>
      <c r="C89" s="3" t="s">
        <v>55</v>
      </c>
      <c r="D89" s="3">
        <v>1</v>
      </c>
      <c r="E89" s="3">
        <v>2022</v>
      </c>
      <c r="F89" s="3">
        <v>1</v>
      </c>
      <c r="G89" s="3" t="s">
        <v>39</v>
      </c>
      <c r="H89" s="3" t="s">
        <v>46</v>
      </c>
      <c r="I89" s="5">
        <v>8090383.4643013328</v>
      </c>
      <c r="J89" s="3">
        <v>0</v>
      </c>
      <c r="K89" s="3">
        <v>8090383.4643013328</v>
      </c>
      <c r="L89" s="3">
        <v>8081523.915340486</v>
      </c>
      <c r="M89" s="3">
        <v>8859.5489608478547</v>
      </c>
      <c r="N89" s="3">
        <v>110532.34281371326</v>
      </c>
      <c r="O89" s="3">
        <f t="shared" si="2"/>
        <v>1.3662188362447241</v>
      </c>
      <c r="P89" s="3">
        <v>28000</v>
      </c>
      <c r="Q89" s="3">
        <v>0</v>
      </c>
      <c r="R89" s="3">
        <v>80971.988639271993</v>
      </c>
      <c r="S89" s="3">
        <v>0</v>
      </c>
      <c r="T89" s="3">
        <v>674.39927835648427</v>
      </c>
      <c r="U89" s="3">
        <v>885.95489608478556</v>
      </c>
      <c r="V89" s="3">
        <v>0</v>
      </c>
      <c r="W89" s="3">
        <v>0</v>
      </c>
      <c r="X89" s="3">
        <v>-101672.7938528654</v>
      </c>
      <c r="Y89" s="3">
        <v>6472.8033845382843</v>
      </c>
      <c r="Z89" s="3">
        <v>0</v>
      </c>
      <c r="AA89" s="3">
        <v>6472.8033845382843</v>
      </c>
      <c r="AB89" s="3">
        <v>0</v>
      </c>
      <c r="AC89" s="3">
        <v>0</v>
      </c>
      <c r="AD89" s="3">
        <v>0</v>
      </c>
      <c r="AE89" s="3">
        <v>-95199.990468327131</v>
      </c>
      <c r="AF89" s="3">
        <v>0</v>
      </c>
      <c r="AG89" s="3">
        <v>-95199.990468327131</v>
      </c>
      <c r="AH89" s="3">
        <v>-95199.990468327131</v>
      </c>
      <c r="AI89" s="3">
        <v>8000000</v>
      </c>
      <c r="AJ89" s="3">
        <v>0</v>
      </c>
    </row>
    <row r="90" spans="1:36" x14ac:dyDescent="0.2">
      <c r="A90" s="3" t="s">
        <v>36</v>
      </c>
      <c r="B90" s="3" t="s">
        <v>37</v>
      </c>
      <c r="C90" s="3" t="s">
        <v>55</v>
      </c>
      <c r="D90" s="3">
        <v>3</v>
      </c>
      <c r="E90" s="3">
        <v>2022</v>
      </c>
      <c r="F90" s="3">
        <v>1</v>
      </c>
      <c r="G90" s="3" t="s">
        <v>48</v>
      </c>
      <c r="H90" s="3" t="s">
        <v>46</v>
      </c>
      <c r="I90" s="5">
        <v>12778236</v>
      </c>
      <c r="J90" s="3">
        <v>760122.89999999991</v>
      </c>
      <c r="K90" s="3">
        <v>12018113.100000001</v>
      </c>
      <c r="L90" s="3">
        <v>7903605.4020000007</v>
      </c>
      <c r="M90" s="3">
        <v>4114507.6979999999</v>
      </c>
      <c r="N90" s="3">
        <v>2560524.5042255884</v>
      </c>
      <c r="O90" s="3">
        <f t="shared" si="2"/>
        <v>21.305545079498277</v>
      </c>
      <c r="P90" s="3">
        <v>756000</v>
      </c>
      <c r="Q90" s="3">
        <v>830544.45114483847</v>
      </c>
      <c r="R90" s="3">
        <v>134431.96048014736</v>
      </c>
      <c r="S90" s="3">
        <v>68539.602364781327</v>
      </c>
      <c r="T90" s="3">
        <v>138897.93619603658</v>
      </c>
      <c r="U90" s="3">
        <v>346706.17819004424</v>
      </c>
      <c r="V90" s="3">
        <v>285404.37584974023</v>
      </c>
      <c r="W90" s="3">
        <v>0</v>
      </c>
      <c r="X90" s="3">
        <v>1553983.1937744119</v>
      </c>
      <c r="Y90" s="3">
        <v>0</v>
      </c>
      <c r="Z90" s="3">
        <v>287167.23199950875</v>
      </c>
      <c r="AA90" s="3">
        <v>-287167.23199950875</v>
      </c>
      <c r="AB90" s="3">
        <v>0</v>
      </c>
      <c r="AC90" s="3">
        <v>55155.837680643992</v>
      </c>
      <c r="AD90" s="3">
        <v>-55155.837680643992</v>
      </c>
      <c r="AE90" s="3">
        <v>-342323.06968015275</v>
      </c>
      <c r="AF90" s="3">
        <v>0</v>
      </c>
      <c r="AG90" s="3">
        <v>1211660.1240942592</v>
      </c>
      <c r="AH90" s="3">
        <v>1211660.1240942592</v>
      </c>
      <c r="AI90" s="3">
        <v>14850000</v>
      </c>
      <c r="AJ90" s="3">
        <v>445500</v>
      </c>
    </row>
    <row r="91" spans="1:36" x14ac:dyDescent="0.2">
      <c r="A91" s="3" t="s">
        <v>36</v>
      </c>
      <c r="B91" s="3" t="s">
        <v>37</v>
      </c>
      <c r="C91" s="3" t="s">
        <v>55</v>
      </c>
      <c r="D91" s="3">
        <v>3</v>
      </c>
      <c r="E91" s="3">
        <v>2022</v>
      </c>
      <c r="F91" s="3">
        <v>1</v>
      </c>
      <c r="G91" s="3" t="s">
        <v>39</v>
      </c>
      <c r="H91" s="3" t="s">
        <v>46</v>
      </c>
      <c r="I91" s="5">
        <v>69361424.329396203</v>
      </c>
      <c r="J91" s="3">
        <v>0</v>
      </c>
      <c r="K91" s="3">
        <v>69361424.329396203</v>
      </c>
      <c r="L91" s="3">
        <v>69196629.325890303</v>
      </c>
      <c r="M91" s="3">
        <v>164795.00350590801</v>
      </c>
      <c r="N91" s="3">
        <v>348162.37469030375</v>
      </c>
      <c r="O91" s="3">
        <f t="shared" si="2"/>
        <v>0.50195390024992381</v>
      </c>
      <c r="P91" s="3">
        <v>33250</v>
      </c>
      <c r="Q91" s="3">
        <v>11587.643999999998</v>
      </c>
      <c r="R91" s="3">
        <v>278344.94251304958</v>
      </c>
      <c r="S91" s="3">
        <v>0</v>
      </c>
      <c r="T91" s="3">
        <v>5295.2538266634874</v>
      </c>
      <c r="U91" s="3">
        <v>16479.500350590799</v>
      </c>
      <c r="V91" s="3">
        <v>3205.0339999999997</v>
      </c>
      <c r="W91" s="3">
        <v>0</v>
      </c>
      <c r="X91" s="3">
        <v>-183367.3711843958</v>
      </c>
      <c r="Y91" s="3">
        <v>122121.20787814057</v>
      </c>
      <c r="Z91" s="3">
        <v>0</v>
      </c>
      <c r="AA91" s="3">
        <v>122121.20787814057</v>
      </c>
      <c r="AB91" s="3">
        <v>3040</v>
      </c>
      <c r="AC91" s="3">
        <v>0</v>
      </c>
      <c r="AD91" s="3">
        <v>3040</v>
      </c>
      <c r="AE91" s="3">
        <v>-58206.163306255221</v>
      </c>
      <c r="AF91" s="3">
        <v>0</v>
      </c>
      <c r="AG91" s="3">
        <v>-58206.163306255221</v>
      </c>
      <c r="AH91" s="3">
        <v>-58206.163306255221</v>
      </c>
      <c r="AI91" s="3">
        <v>35625000</v>
      </c>
      <c r="AJ91" s="3">
        <v>0</v>
      </c>
    </row>
    <row r="92" spans="1:36" x14ac:dyDescent="0.2">
      <c r="A92" s="3" t="s">
        <v>36</v>
      </c>
      <c r="B92" s="3" t="s">
        <v>37</v>
      </c>
      <c r="C92" s="3" t="s">
        <v>55</v>
      </c>
      <c r="D92" s="3">
        <v>2</v>
      </c>
      <c r="E92" s="3">
        <v>2022</v>
      </c>
      <c r="F92" s="3">
        <v>1</v>
      </c>
      <c r="G92" s="3" t="s">
        <v>39</v>
      </c>
      <c r="H92" s="3" t="s">
        <v>46</v>
      </c>
      <c r="I92" s="5">
        <v>241475231.74347883</v>
      </c>
      <c r="J92" s="3">
        <v>0</v>
      </c>
      <c r="K92" s="3">
        <v>241475231.74347883</v>
      </c>
      <c r="L92" s="3">
        <v>240981182.84277812</v>
      </c>
      <c r="M92" s="3">
        <v>494048.90070072934</v>
      </c>
      <c r="N92" s="3">
        <v>352004.39721055201</v>
      </c>
      <c r="O92" s="3">
        <f t="shared" si="2"/>
        <v>0.14577246480686235</v>
      </c>
      <c r="P92" s="3">
        <v>49000</v>
      </c>
      <c r="Q92" s="3">
        <v>17076.527999999998</v>
      </c>
      <c r="R92" s="3">
        <v>209941.17846226605</v>
      </c>
      <c r="S92" s="3">
        <v>0</v>
      </c>
      <c r="T92" s="3">
        <v>21858.592678212957</v>
      </c>
      <c r="U92" s="3">
        <v>49404.890070072935</v>
      </c>
      <c r="V92" s="3">
        <v>4723.2079999999996</v>
      </c>
      <c r="W92" s="3">
        <v>0</v>
      </c>
      <c r="X92" s="3">
        <v>142044.50349017742</v>
      </c>
      <c r="Y92" s="3">
        <v>254942.39535343208</v>
      </c>
      <c r="Z92" s="3">
        <v>0</v>
      </c>
      <c r="AA92" s="3">
        <v>254942.39535343208</v>
      </c>
      <c r="AB92" s="3">
        <v>140</v>
      </c>
      <c r="AC92" s="3">
        <v>0</v>
      </c>
      <c r="AD92" s="3">
        <v>140</v>
      </c>
      <c r="AE92" s="3">
        <v>397126.89884360944</v>
      </c>
      <c r="AF92" s="3">
        <v>0</v>
      </c>
      <c r="AG92" s="3">
        <v>397126.89884360944</v>
      </c>
      <c r="AH92" s="3">
        <v>397126.89884360944</v>
      </c>
      <c r="AI92" s="3">
        <v>196000000</v>
      </c>
      <c r="AJ92" s="3">
        <v>0</v>
      </c>
    </row>
    <row r="93" spans="1:36" x14ac:dyDescent="0.2">
      <c r="A93" s="3" t="s">
        <v>36</v>
      </c>
      <c r="B93" s="3" t="s">
        <v>37</v>
      </c>
      <c r="C93" s="3" t="s">
        <v>56</v>
      </c>
      <c r="D93" s="3">
        <v>2</v>
      </c>
      <c r="E93" s="3">
        <v>2022</v>
      </c>
      <c r="F93" s="3">
        <v>1</v>
      </c>
      <c r="G93" s="3" t="s">
        <v>48</v>
      </c>
      <c r="H93" s="3" t="s">
        <v>46</v>
      </c>
      <c r="I93" s="5">
        <v>2987764.7930000001</v>
      </c>
      <c r="J93" s="3">
        <v>181190.78899999999</v>
      </c>
      <c r="K93" s="3">
        <v>2806574.0040000007</v>
      </c>
      <c r="L93" s="3">
        <v>1868259.4450000001</v>
      </c>
      <c r="M93" s="3">
        <v>938314.55900000001</v>
      </c>
      <c r="N93" s="3">
        <v>524239.27802129288</v>
      </c>
      <c r="O93" s="3">
        <f t="shared" si="2"/>
        <v>18.678975764549012</v>
      </c>
      <c r="P93" s="3">
        <v>346450</v>
      </c>
      <c r="Q93" s="3">
        <v>0</v>
      </c>
      <c r="R93" s="3">
        <v>52003.122435886966</v>
      </c>
      <c r="S93" s="3">
        <v>12346.143254392737</v>
      </c>
      <c r="T93" s="3">
        <v>21835.1501397459</v>
      </c>
      <c r="U93" s="3">
        <v>91604.862191267195</v>
      </c>
      <c r="V93" s="3">
        <v>0</v>
      </c>
      <c r="W93" s="3">
        <v>0</v>
      </c>
      <c r="X93" s="3">
        <v>414075.28097870713</v>
      </c>
      <c r="Y93" s="3">
        <v>0</v>
      </c>
      <c r="Z93" s="3">
        <v>109171.39534374207</v>
      </c>
      <c r="AA93" s="3">
        <v>-109171.39534374207</v>
      </c>
      <c r="AB93" s="3">
        <v>0</v>
      </c>
      <c r="AC93" s="3">
        <v>30963.992736522996</v>
      </c>
      <c r="AD93" s="3">
        <v>-30963.992736522996</v>
      </c>
      <c r="AE93" s="3">
        <v>273939.89289844211</v>
      </c>
      <c r="AF93" s="3">
        <v>0</v>
      </c>
      <c r="AG93" s="3">
        <v>273939.89289844211</v>
      </c>
      <c r="AH93" s="3">
        <v>273939.89289844211</v>
      </c>
      <c r="AI93" s="3">
        <v>0</v>
      </c>
      <c r="AJ93" s="3">
        <v>0</v>
      </c>
    </row>
    <row r="94" spans="1:36" x14ac:dyDescent="0.2">
      <c r="A94" s="3" t="s">
        <v>36</v>
      </c>
      <c r="B94" s="3" t="s">
        <v>37</v>
      </c>
      <c r="C94" s="3" t="s">
        <v>56</v>
      </c>
      <c r="D94" s="3">
        <v>2</v>
      </c>
      <c r="E94" s="3">
        <v>2022</v>
      </c>
      <c r="F94" s="3">
        <v>1</v>
      </c>
      <c r="G94" s="3" t="s">
        <v>39</v>
      </c>
      <c r="H94" s="3" t="s">
        <v>46</v>
      </c>
      <c r="I94" s="5">
        <v>6223856.2638249993</v>
      </c>
      <c r="J94" s="3">
        <v>0</v>
      </c>
      <c r="K94" s="3">
        <v>6223856.2638249993</v>
      </c>
      <c r="L94" s="3">
        <v>6213727.8496087426</v>
      </c>
      <c r="M94" s="3">
        <v>10128.414216256857</v>
      </c>
      <c r="N94" s="3">
        <v>241640.84013618954</v>
      </c>
      <c r="O94" s="3">
        <f t="shared" si="2"/>
        <v>3.8824939055980732</v>
      </c>
      <c r="P94" s="3">
        <v>46800</v>
      </c>
      <c r="Q94" s="3">
        <v>18716.448</v>
      </c>
      <c r="R94" s="3">
        <v>151788.96068082642</v>
      </c>
      <c r="S94" s="3">
        <v>0</v>
      </c>
      <c r="T94" s="3">
        <v>563.39003373735841</v>
      </c>
      <c r="U94" s="3">
        <v>1012.8414216256857</v>
      </c>
      <c r="V94" s="3">
        <v>22759.200000000001</v>
      </c>
      <c r="W94" s="3">
        <v>0</v>
      </c>
      <c r="X94" s="3">
        <v>-231512.42591993269</v>
      </c>
      <c r="Y94" s="3">
        <v>6570.9630456866016</v>
      </c>
      <c r="Z94" s="3">
        <v>0</v>
      </c>
      <c r="AA94" s="3">
        <v>6570.9630456866016</v>
      </c>
      <c r="AB94" s="3">
        <v>0</v>
      </c>
      <c r="AC94" s="3">
        <v>0</v>
      </c>
      <c r="AD94" s="3">
        <v>0</v>
      </c>
      <c r="AE94" s="3">
        <v>-224941.46287424606</v>
      </c>
      <c r="AF94" s="3">
        <v>0</v>
      </c>
      <c r="AG94" s="3">
        <v>-224941.46287424606</v>
      </c>
      <c r="AH94" s="3">
        <v>-224941.46287424606</v>
      </c>
      <c r="AI94" s="3">
        <v>0</v>
      </c>
      <c r="AJ94" s="3">
        <v>0</v>
      </c>
    </row>
    <row r="95" spans="1:36" x14ac:dyDescent="0.2">
      <c r="A95" s="3" t="s">
        <v>36</v>
      </c>
      <c r="B95" s="3" t="s">
        <v>37</v>
      </c>
      <c r="C95" s="3" t="s">
        <v>56</v>
      </c>
      <c r="D95" s="3">
        <v>3</v>
      </c>
      <c r="E95" s="3">
        <v>2022</v>
      </c>
      <c r="F95" s="3">
        <v>1</v>
      </c>
      <c r="G95" s="3" t="s">
        <v>48</v>
      </c>
      <c r="H95" s="3" t="s">
        <v>46</v>
      </c>
      <c r="I95" s="5">
        <v>6469682.1210000003</v>
      </c>
      <c r="J95" s="3">
        <v>261834.3</v>
      </c>
      <c r="K95" s="3">
        <v>6207847.8210000005</v>
      </c>
      <c r="L95" s="3">
        <v>3988289.9699999997</v>
      </c>
      <c r="M95" s="3">
        <v>2219557.8510000003</v>
      </c>
      <c r="N95" s="3">
        <v>920725.38412833097</v>
      </c>
      <c r="O95" s="3">
        <f t="shared" si="2"/>
        <v>14.831635869257093</v>
      </c>
      <c r="P95" s="3">
        <v>559650</v>
      </c>
      <c r="Q95" s="3">
        <v>5903.8248200096177</v>
      </c>
      <c r="R95" s="3">
        <v>63818.564630744004</v>
      </c>
      <c r="S95" s="3">
        <v>19371.887826390936</v>
      </c>
      <c r="T95" s="3">
        <v>70324.690704671331</v>
      </c>
      <c r="U95" s="3">
        <v>175538.99945785702</v>
      </c>
      <c r="V95" s="3">
        <v>26117.416688657835</v>
      </c>
      <c r="W95" s="3">
        <v>0</v>
      </c>
      <c r="X95" s="3">
        <v>1298832.4668716691</v>
      </c>
      <c r="Y95" s="3">
        <v>0</v>
      </c>
      <c r="Z95" s="3">
        <v>188937.85861152242</v>
      </c>
      <c r="AA95" s="3">
        <v>-188937.85861152242</v>
      </c>
      <c r="AB95" s="3">
        <v>0</v>
      </c>
      <c r="AC95" s="3">
        <v>57429.639850563966</v>
      </c>
      <c r="AD95" s="3">
        <v>-57429.639850563966</v>
      </c>
      <c r="AE95" s="3">
        <v>-246367.4984620864</v>
      </c>
      <c r="AF95" s="3">
        <v>0</v>
      </c>
      <c r="AG95" s="3">
        <v>1052464.9684095827</v>
      </c>
      <c r="AH95" s="3">
        <v>1052464.9684095827</v>
      </c>
      <c r="AI95" s="3">
        <v>11550000</v>
      </c>
      <c r="AJ95" s="3">
        <v>346500</v>
      </c>
    </row>
    <row r="96" spans="1:36" x14ac:dyDescent="0.2">
      <c r="A96" s="3" t="s">
        <v>36</v>
      </c>
      <c r="B96" s="3" t="s">
        <v>37</v>
      </c>
      <c r="C96" s="3" t="s">
        <v>56</v>
      </c>
      <c r="D96" s="3">
        <v>3</v>
      </c>
      <c r="E96" s="3">
        <v>2022</v>
      </c>
      <c r="F96" s="3">
        <v>1</v>
      </c>
      <c r="G96" s="3" t="s">
        <v>39</v>
      </c>
      <c r="H96" s="3" t="s">
        <v>46</v>
      </c>
      <c r="I96" s="5">
        <v>15335245.998546667</v>
      </c>
      <c r="J96" s="3">
        <v>0</v>
      </c>
      <c r="K96" s="3">
        <v>15335245.998546667</v>
      </c>
      <c r="L96" s="3">
        <v>15313980.011733212</v>
      </c>
      <c r="M96" s="3">
        <v>21265.986813453197</v>
      </c>
      <c r="N96" s="3">
        <v>321948.25591703458</v>
      </c>
      <c r="O96" s="3">
        <f t="shared" si="2"/>
        <v>2.0994006613754084</v>
      </c>
      <c r="P96" s="3">
        <v>27300</v>
      </c>
      <c r="Q96" s="3">
        <v>10917.928</v>
      </c>
      <c r="R96" s="3">
        <v>267156.79174230981</v>
      </c>
      <c r="S96" s="3">
        <v>0</v>
      </c>
      <c r="T96" s="3">
        <v>1170.737493379514</v>
      </c>
      <c r="U96" s="3">
        <v>2126.5986813453196</v>
      </c>
      <c r="V96" s="3">
        <v>13276.199999999999</v>
      </c>
      <c r="W96" s="3">
        <v>0</v>
      </c>
      <c r="X96" s="3">
        <v>-300682.26910358138</v>
      </c>
      <c r="Y96" s="3">
        <v>27000.004434125254</v>
      </c>
      <c r="Z96" s="3">
        <v>0</v>
      </c>
      <c r="AA96" s="3">
        <v>27000.004434125254</v>
      </c>
      <c r="AB96" s="3">
        <v>0</v>
      </c>
      <c r="AC96" s="3">
        <v>0</v>
      </c>
      <c r="AD96" s="3">
        <v>0</v>
      </c>
      <c r="AE96" s="3">
        <v>-273682.26466945617</v>
      </c>
      <c r="AF96" s="3">
        <v>0</v>
      </c>
      <c r="AG96" s="3">
        <v>-273682.26466945617</v>
      </c>
      <c r="AH96" s="3">
        <v>-273682.26466945617</v>
      </c>
      <c r="AI96" s="3">
        <v>28000000</v>
      </c>
      <c r="AJ96" s="3">
        <v>0</v>
      </c>
    </row>
    <row r="97" spans="1:36" x14ac:dyDescent="0.2">
      <c r="A97" s="3" t="s">
        <v>36</v>
      </c>
      <c r="B97" s="3" t="s">
        <v>37</v>
      </c>
      <c r="C97" s="3" t="s">
        <v>57</v>
      </c>
      <c r="D97" s="3">
        <v>3</v>
      </c>
      <c r="E97" s="3">
        <v>2022</v>
      </c>
      <c r="F97" s="3">
        <v>1</v>
      </c>
      <c r="G97" s="3" t="s">
        <v>48</v>
      </c>
      <c r="H97" s="3" t="s">
        <v>46</v>
      </c>
      <c r="I97" s="5">
        <v>20224282</v>
      </c>
      <c r="J97" s="3">
        <v>980307.89999999991</v>
      </c>
      <c r="K97" s="3">
        <v>19243974.099999998</v>
      </c>
      <c r="L97" s="3">
        <v>14032532.721999999</v>
      </c>
      <c r="M97" s="3">
        <v>5211441.3780000005</v>
      </c>
      <c r="N97" s="3">
        <v>2384156.9877576698</v>
      </c>
      <c r="O97" s="3">
        <f t="shared" si="2"/>
        <v>12.389109314783738</v>
      </c>
      <c r="P97" s="3">
        <v>718900</v>
      </c>
      <c r="Q97" s="3">
        <v>0</v>
      </c>
      <c r="R97" s="3">
        <v>896684.97596321278</v>
      </c>
      <c r="S97" s="3">
        <v>0</v>
      </c>
      <c r="T97" s="3">
        <v>219835.58848393877</v>
      </c>
      <c r="U97" s="3">
        <v>548736.42331051826</v>
      </c>
      <c r="V97" s="3">
        <v>0</v>
      </c>
      <c r="W97" s="3">
        <v>0</v>
      </c>
      <c r="X97" s="3">
        <v>2827284.3902423303</v>
      </c>
      <c r="Y97" s="3">
        <v>0</v>
      </c>
      <c r="Z97" s="3">
        <v>289971.10484702158</v>
      </c>
      <c r="AA97" s="3">
        <v>-289971.10484702158</v>
      </c>
      <c r="AB97" s="3">
        <v>0</v>
      </c>
      <c r="AC97" s="3">
        <v>0</v>
      </c>
      <c r="AD97" s="3">
        <v>0</v>
      </c>
      <c r="AE97" s="3">
        <v>-289971.10484702158</v>
      </c>
      <c r="AF97" s="3">
        <v>0</v>
      </c>
      <c r="AG97" s="3">
        <v>2537313.2853953084</v>
      </c>
      <c r="AH97" s="3">
        <v>2537313.2853953084</v>
      </c>
      <c r="AI97" s="3">
        <v>14300000</v>
      </c>
      <c r="AJ97" s="3">
        <v>429000</v>
      </c>
    </row>
    <row r="98" spans="1:36" x14ac:dyDescent="0.2">
      <c r="A98" s="3" t="s">
        <v>36</v>
      </c>
      <c r="B98" s="3" t="s">
        <v>37</v>
      </c>
      <c r="C98" s="3" t="s">
        <v>57</v>
      </c>
      <c r="D98" s="3">
        <v>3</v>
      </c>
      <c r="E98" s="3">
        <v>2022</v>
      </c>
      <c r="F98" s="3">
        <v>1</v>
      </c>
      <c r="G98" s="3" t="s">
        <v>39</v>
      </c>
      <c r="H98" s="3" t="s">
        <v>46</v>
      </c>
      <c r="I98" s="5">
        <v>91838603.500603229</v>
      </c>
      <c r="J98" s="3">
        <v>0</v>
      </c>
      <c r="K98" s="3">
        <v>91838603.500603229</v>
      </c>
      <c r="L98" s="3">
        <v>91711247.308782473</v>
      </c>
      <c r="M98" s="3">
        <v>127356.19182078553</v>
      </c>
      <c r="N98" s="3">
        <v>342103.88077165489</v>
      </c>
      <c r="O98" s="3">
        <f t="shared" si="2"/>
        <v>0.37250553441767853</v>
      </c>
      <c r="P98" s="3">
        <v>47250</v>
      </c>
      <c r="Q98" s="3">
        <v>18339.831000000002</v>
      </c>
      <c r="R98" s="3">
        <v>256767.20322041895</v>
      </c>
      <c r="S98" s="3">
        <v>0</v>
      </c>
      <c r="T98" s="3">
        <v>7011.227369157361</v>
      </c>
      <c r="U98" s="3">
        <v>12735.619182078553</v>
      </c>
      <c r="V98" s="3">
        <v>0</v>
      </c>
      <c r="W98" s="3">
        <v>0</v>
      </c>
      <c r="X98" s="3">
        <v>-214747.68895086931</v>
      </c>
      <c r="Y98" s="3">
        <v>161695.65861383354</v>
      </c>
      <c r="Z98" s="3">
        <v>0</v>
      </c>
      <c r="AA98" s="3">
        <v>161695.65861383354</v>
      </c>
      <c r="AB98" s="3">
        <v>0</v>
      </c>
      <c r="AC98" s="3">
        <v>0</v>
      </c>
      <c r="AD98" s="3">
        <v>0</v>
      </c>
      <c r="AE98" s="3">
        <v>-53052.030337035765</v>
      </c>
      <c r="AF98" s="3">
        <v>0</v>
      </c>
      <c r="AG98" s="3">
        <v>-53052.030337035765</v>
      </c>
      <c r="AH98" s="3">
        <v>-53052.030337035765</v>
      </c>
      <c r="AI98" s="3">
        <v>54000000</v>
      </c>
      <c r="AJ98" s="3">
        <v>0</v>
      </c>
    </row>
    <row r="99" spans="1:36" x14ac:dyDescent="0.2">
      <c r="A99" s="3" t="s">
        <v>36</v>
      </c>
      <c r="B99" s="3" t="s">
        <v>37</v>
      </c>
      <c r="C99" s="3" t="s">
        <v>58</v>
      </c>
      <c r="D99" s="3">
        <v>1</v>
      </c>
      <c r="E99" s="3">
        <v>2022</v>
      </c>
      <c r="F99" s="3">
        <v>1</v>
      </c>
      <c r="G99" s="3" t="s">
        <v>48</v>
      </c>
      <c r="H99" s="3" t="s">
        <v>46</v>
      </c>
      <c r="I99" s="5">
        <v>3470925</v>
      </c>
      <c r="J99" s="3">
        <v>170875</v>
      </c>
      <c r="K99" s="3">
        <v>3300050</v>
      </c>
      <c r="L99" s="3">
        <v>1896138.85</v>
      </c>
      <c r="M99" s="3">
        <v>1403911.15</v>
      </c>
      <c r="N99" s="3">
        <v>3182606.4585402883</v>
      </c>
      <c r="O99" s="3">
        <f t="shared" si="2"/>
        <v>96.441158726088645</v>
      </c>
      <c r="P99" s="3">
        <v>715000</v>
      </c>
      <c r="Q99" s="3">
        <v>472599.35</v>
      </c>
      <c r="R99" s="3">
        <v>1035674.2833028969</v>
      </c>
      <c r="S99" s="3">
        <v>257470.27909431834</v>
      </c>
      <c r="T99" s="3">
        <v>166397.78019712062</v>
      </c>
      <c r="U99" s="3">
        <v>92760.89162003572</v>
      </c>
      <c r="V99" s="3">
        <v>442703.87432591646</v>
      </c>
      <c r="W99" s="3">
        <v>0</v>
      </c>
      <c r="X99" s="3">
        <v>-1778695.3085402879</v>
      </c>
      <c r="Y99" s="3">
        <v>0</v>
      </c>
      <c r="Z99" s="3">
        <v>114609.64391656045</v>
      </c>
      <c r="AA99" s="3">
        <v>-114609.64391656045</v>
      </c>
      <c r="AB99" s="3">
        <v>0</v>
      </c>
      <c r="AC99" s="3">
        <v>64737.537875680275</v>
      </c>
      <c r="AD99" s="3">
        <v>-64737.537875680275</v>
      </c>
      <c r="AE99" s="3">
        <v>-1958042.4903325285</v>
      </c>
      <c r="AF99" s="3">
        <v>0</v>
      </c>
      <c r="AG99" s="3">
        <v>-1958042.4903325285</v>
      </c>
      <c r="AH99" s="3">
        <v>-1958042.4903325285</v>
      </c>
      <c r="AI99" s="3">
        <v>5875000</v>
      </c>
      <c r="AJ99" s="3">
        <v>58750</v>
      </c>
    </row>
    <row r="100" spans="1:36" x14ac:dyDescent="0.2">
      <c r="A100" s="3" t="s">
        <v>36</v>
      </c>
      <c r="B100" s="3" t="s">
        <v>37</v>
      </c>
      <c r="C100" s="3" t="s">
        <v>58</v>
      </c>
      <c r="D100" s="3">
        <v>2</v>
      </c>
      <c r="E100" s="3">
        <v>2022</v>
      </c>
      <c r="F100" s="3">
        <v>1</v>
      </c>
      <c r="G100" s="3" t="s">
        <v>48</v>
      </c>
      <c r="H100" s="3" t="s">
        <v>46</v>
      </c>
      <c r="I100" s="5">
        <v>5954559</v>
      </c>
      <c r="J100" s="3">
        <v>390652.07999999996</v>
      </c>
      <c r="K100" s="3">
        <v>5563906.9199999999</v>
      </c>
      <c r="L100" s="3">
        <v>3312011.6770000001</v>
      </c>
      <c r="M100" s="3">
        <v>2251895.2430000002</v>
      </c>
      <c r="N100" s="3">
        <v>1867254.3943780619</v>
      </c>
      <c r="O100" s="3">
        <f t="shared" si="2"/>
        <v>33.560129981075633</v>
      </c>
      <c r="P100" s="3">
        <v>371800</v>
      </c>
      <c r="Q100" s="3">
        <v>241650.383</v>
      </c>
      <c r="R100" s="3">
        <v>603770.91093535919</v>
      </c>
      <c r="S100" s="3">
        <v>91302.499089453748</v>
      </c>
      <c r="T100" s="3">
        <v>43517.043271141876</v>
      </c>
      <c r="U100" s="3">
        <v>182566.76626042894</v>
      </c>
      <c r="V100" s="3">
        <v>332646.79182167834</v>
      </c>
      <c r="W100" s="3">
        <v>0</v>
      </c>
      <c r="X100" s="3">
        <v>384640.84862193814</v>
      </c>
      <c r="Y100" s="3">
        <v>0</v>
      </c>
      <c r="Z100" s="3">
        <v>64410.969110715276</v>
      </c>
      <c r="AA100" s="3">
        <v>-64410.969110715276</v>
      </c>
      <c r="AB100" s="3">
        <v>0</v>
      </c>
      <c r="AC100" s="3">
        <v>46605.154580744966</v>
      </c>
      <c r="AD100" s="3">
        <v>-46605.154580744966</v>
      </c>
      <c r="AE100" s="3">
        <v>273624.72493047797</v>
      </c>
      <c r="AF100" s="3">
        <v>0</v>
      </c>
      <c r="AG100" s="3">
        <v>273624.72493047797</v>
      </c>
      <c r="AH100" s="3">
        <v>273624.72493047797</v>
      </c>
      <c r="AI100" s="3">
        <v>2600000</v>
      </c>
      <c r="AJ100" s="3">
        <v>26000</v>
      </c>
    </row>
    <row r="101" spans="1:36" x14ac:dyDescent="0.2">
      <c r="A101" s="3" t="s">
        <v>36</v>
      </c>
      <c r="B101" s="3" t="s">
        <v>37</v>
      </c>
      <c r="C101" s="3" t="s">
        <v>58</v>
      </c>
      <c r="D101" s="3">
        <v>3</v>
      </c>
      <c r="E101" s="3">
        <v>2022</v>
      </c>
      <c r="F101" s="3">
        <v>1</v>
      </c>
      <c r="G101" s="3" t="s">
        <v>48</v>
      </c>
      <c r="H101" s="3" t="s">
        <v>46</v>
      </c>
      <c r="I101" s="5">
        <v>10129680</v>
      </c>
      <c r="J101" s="3">
        <v>817315.5</v>
      </c>
      <c r="K101" s="3">
        <v>9312364.5</v>
      </c>
      <c r="L101" s="3">
        <v>5500297.5899999999</v>
      </c>
      <c r="M101" s="3">
        <v>3812066.91</v>
      </c>
      <c r="N101" s="3">
        <v>3573405.1811219184</v>
      </c>
      <c r="O101" s="3">
        <f t="shared" si="2"/>
        <v>38.372694508703113</v>
      </c>
      <c r="P101" s="3">
        <v>858000</v>
      </c>
      <c r="Q101" s="3">
        <v>569554.05000000005</v>
      </c>
      <c r="R101" s="3">
        <v>1261519.2378209895</v>
      </c>
      <c r="S101" s="3">
        <v>234912.62942560756</v>
      </c>
      <c r="T101" s="3">
        <v>110113.441128045</v>
      </c>
      <c r="U101" s="3">
        <v>274844.08951972146</v>
      </c>
      <c r="V101" s="3">
        <v>264466.73322755354</v>
      </c>
      <c r="W101" s="3">
        <v>0</v>
      </c>
      <c r="X101" s="3">
        <v>238661.72887808204</v>
      </c>
      <c r="Y101" s="3">
        <v>0</v>
      </c>
      <c r="Z101" s="3">
        <v>199300.4308859017</v>
      </c>
      <c r="AA101" s="3">
        <v>-199300.4308859017</v>
      </c>
      <c r="AB101" s="3">
        <v>0</v>
      </c>
      <c r="AC101" s="3">
        <v>109901.35429785973</v>
      </c>
      <c r="AD101" s="3">
        <v>-109901.35429785973</v>
      </c>
      <c r="AE101" s="3">
        <v>-309201.78518376144</v>
      </c>
      <c r="AF101" s="3">
        <v>0</v>
      </c>
      <c r="AG101" s="3">
        <v>-70540.056305679405</v>
      </c>
      <c r="AH101" s="3">
        <v>-70540.056305679405</v>
      </c>
      <c r="AI101" s="3">
        <v>12000000</v>
      </c>
      <c r="AJ101" s="3">
        <v>360000</v>
      </c>
    </row>
    <row r="102" spans="1:36" x14ac:dyDescent="0.2">
      <c r="A102" s="3" t="s">
        <v>36</v>
      </c>
      <c r="B102" s="3" t="s">
        <v>37</v>
      </c>
      <c r="C102" s="3" t="s">
        <v>59</v>
      </c>
      <c r="D102" s="3">
        <v>2</v>
      </c>
      <c r="E102" s="3">
        <v>2022</v>
      </c>
      <c r="F102" s="3">
        <v>1</v>
      </c>
      <c r="G102" s="3" t="s">
        <v>48</v>
      </c>
      <c r="H102" s="3" t="s">
        <v>46</v>
      </c>
      <c r="I102" s="5">
        <v>2492170</v>
      </c>
      <c r="J102" s="3">
        <v>180980</v>
      </c>
      <c r="K102" s="3">
        <v>2311190</v>
      </c>
      <c r="L102" s="3">
        <v>1383499.76</v>
      </c>
      <c r="M102" s="3">
        <v>927690.23999999999</v>
      </c>
      <c r="N102" s="3">
        <v>1114772.9439707438</v>
      </c>
      <c r="O102" s="3">
        <f t="shared" si="2"/>
        <v>48.233721328438762</v>
      </c>
      <c r="P102" s="3">
        <v>193050</v>
      </c>
      <c r="Q102" s="3">
        <v>308835.75526463886</v>
      </c>
      <c r="R102" s="3">
        <v>285037.97423932783</v>
      </c>
      <c r="S102" s="3">
        <v>44583.012843912642</v>
      </c>
      <c r="T102" s="3">
        <v>18213.249667866527</v>
      </c>
      <c r="U102" s="3">
        <v>76409.926893201162</v>
      </c>
      <c r="V102" s="3">
        <v>188643.02506179688</v>
      </c>
      <c r="W102" s="3">
        <v>0</v>
      </c>
      <c r="X102" s="3">
        <v>-187082.70397074387</v>
      </c>
      <c r="Y102" s="3">
        <v>0</v>
      </c>
      <c r="Z102" s="3">
        <v>38051.562307276865</v>
      </c>
      <c r="AA102" s="3">
        <v>-38051.562307276865</v>
      </c>
      <c r="AB102" s="3">
        <v>0</v>
      </c>
      <c r="AC102" s="3">
        <v>38753.392759546958</v>
      </c>
      <c r="AD102" s="3">
        <v>-38753.392759546958</v>
      </c>
      <c r="AE102" s="3">
        <v>-263887.65903756768</v>
      </c>
      <c r="AF102" s="3">
        <v>0</v>
      </c>
      <c r="AG102" s="3">
        <v>-263887.65903756768</v>
      </c>
      <c r="AH102" s="3">
        <v>-263887.65903756768</v>
      </c>
      <c r="AI102" s="3">
        <v>1600000</v>
      </c>
      <c r="AJ102" s="3">
        <v>16000</v>
      </c>
    </row>
    <row r="103" spans="1:36" x14ac:dyDescent="0.2">
      <c r="A103" s="3" t="s">
        <v>36</v>
      </c>
      <c r="B103" s="3" t="s">
        <v>37</v>
      </c>
      <c r="C103" s="3" t="s">
        <v>59</v>
      </c>
      <c r="D103" s="3">
        <v>1</v>
      </c>
      <c r="E103" s="3">
        <v>2022</v>
      </c>
      <c r="F103" s="3">
        <v>1</v>
      </c>
      <c r="G103" s="3" t="s">
        <v>48</v>
      </c>
      <c r="H103" s="3" t="s">
        <v>46</v>
      </c>
      <c r="I103" s="5">
        <v>4651868</v>
      </c>
      <c r="J103" s="3">
        <v>189124</v>
      </c>
      <c r="K103" s="3">
        <v>4462744</v>
      </c>
      <c r="L103" s="3">
        <v>2456286.4300000002</v>
      </c>
      <c r="M103" s="3">
        <v>2006457.57</v>
      </c>
      <c r="N103" s="3">
        <v>3710954.1015777746</v>
      </c>
      <c r="O103" s="3">
        <f t="shared" si="2"/>
        <v>83.154088640929771</v>
      </c>
      <c r="P103" s="3">
        <v>501930</v>
      </c>
      <c r="Q103" s="3">
        <v>541415.2744390869</v>
      </c>
      <c r="R103" s="3">
        <v>733735.98272492073</v>
      </c>
      <c r="S103" s="3">
        <v>158880.48236360686</v>
      </c>
      <c r="T103" s="3">
        <v>1485482.9069974199</v>
      </c>
      <c r="U103" s="3">
        <v>124321.73653383821</v>
      </c>
      <c r="V103" s="3">
        <v>165187.71851890266</v>
      </c>
      <c r="W103" s="3">
        <v>0</v>
      </c>
      <c r="X103" s="3">
        <v>-1704496.531577775</v>
      </c>
      <c r="Y103" s="3">
        <v>0</v>
      </c>
      <c r="Z103" s="3">
        <v>86302.357911683735</v>
      </c>
      <c r="AA103" s="3">
        <v>-86302.357911683735</v>
      </c>
      <c r="AB103" s="3">
        <v>0</v>
      </c>
      <c r="AC103" s="3">
        <v>52196.878236396667</v>
      </c>
      <c r="AD103" s="3">
        <v>-52196.878236396667</v>
      </c>
      <c r="AE103" s="3">
        <v>-1842995.7677258553</v>
      </c>
      <c r="AF103" s="3">
        <v>0</v>
      </c>
      <c r="AG103" s="3">
        <v>-1842995.7677258553</v>
      </c>
      <c r="AH103" s="3">
        <v>-1842995.7677258553</v>
      </c>
      <c r="AI103" s="3">
        <v>4420000</v>
      </c>
      <c r="AJ103" s="3">
        <v>44200</v>
      </c>
    </row>
    <row r="104" spans="1:36" x14ac:dyDescent="0.2">
      <c r="A104" s="3" t="s">
        <v>36</v>
      </c>
      <c r="B104" s="3" t="s">
        <v>37</v>
      </c>
      <c r="C104" s="3" t="s">
        <v>59</v>
      </c>
      <c r="D104" s="3">
        <v>3</v>
      </c>
      <c r="E104" s="3">
        <v>2022</v>
      </c>
      <c r="F104" s="3">
        <v>1</v>
      </c>
      <c r="G104" s="3" t="s">
        <v>48</v>
      </c>
      <c r="H104" s="3" t="s">
        <v>46</v>
      </c>
      <c r="I104" s="5">
        <v>5513473.0800000001</v>
      </c>
      <c r="J104" s="3">
        <v>587156.4</v>
      </c>
      <c r="K104" s="3">
        <v>4926316.68</v>
      </c>
      <c r="L104" s="3">
        <v>3026941.74</v>
      </c>
      <c r="M104" s="3">
        <v>1899374.94</v>
      </c>
      <c r="N104" s="3">
        <v>2255402.3354175766</v>
      </c>
      <c r="O104" s="3">
        <f t="shared" si="2"/>
        <v>45.782731438563893</v>
      </c>
      <c r="P104" s="3">
        <v>347490</v>
      </c>
      <c r="Q104" s="3">
        <v>793275.55257552362</v>
      </c>
      <c r="R104" s="3">
        <v>646744.71214742574</v>
      </c>
      <c r="S104" s="3">
        <v>101409.17851371827</v>
      </c>
      <c r="T104" s="3">
        <v>59930.809861737202</v>
      </c>
      <c r="U104" s="3">
        <v>149594.60602547112</v>
      </c>
      <c r="V104" s="3">
        <v>156957.47629370034</v>
      </c>
      <c r="W104" s="3">
        <v>0</v>
      </c>
      <c r="X104" s="3">
        <v>-356027.39541757625</v>
      </c>
      <c r="Y104" s="3">
        <v>0</v>
      </c>
      <c r="Z104" s="3">
        <v>101667.25917940777</v>
      </c>
      <c r="AA104" s="3">
        <v>-101667.25917940777</v>
      </c>
      <c r="AB104" s="3">
        <v>0</v>
      </c>
      <c r="AC104" s="3">
        <v>75513.87339214742</v>
      </c>
      <c r="AD104" s="3">
        <v>-75513.87339214742</v>
      </c>
      <c r="AE104" s="3">
        <v>-177181.13257155518</v>
      </c>
      <c r="AF104" s="3">
        <v>0</v>
      </c>
      <c r="AG104" s="3">
        <v>-533208.52798913151</v>
      </c>
      <c r="AH104" s="3">
        <v>-533208.52798913151</v>
      </c>
      <c r="AI104" s="3">
        <v>5040000</v>
      </c>
      <c r="AJ104" s="3">
        <v>151200</v>
      </c>
    </row>
    <row r="105" spans="1:36" x14ac:dyDescent="0.2">
      <c r="A105" s="3" t="s">
        <v>36</v>
      </c>
      <c r="B105" s="3" t="s">
        <v>37</v>
      </c>
      <c r="C105" s="3" t="s">
        <v>60</v>
      </c>
      <c r="D105" s="3">
        <v>3</v>
      </c>
      <c r="E105" s="3">
        <v>2022</v>
      </c>
      <c r="F105" s="3">
        <v>1</v>
      </c>
      <c r="G105" s="3" t="s">
        <v>48</v>
      </c>
      <c r="H105" s="3" t="s">
        <v>46</v>
      </c>
      <c r="I105" s="5">
        <v>7233080</v>
      </c>
      <c r="J105" s="3">
        <v>624662.5</v>
      </c>
      <c r="K105" s="3">
        <v>6608417.5</v>
      </c>
      <c r="L105" s="3">
        <v>3926375.54</v>
      </c>
      <c r="M105" s="3">
        <v>2682041.96</v>
      </c>
      <c r="N105" s="3">
        <v>1503535.1775842833</v>
      </c>
      <c r="O105" s="3">
        <f t="shared" si="2"/>
        <v>22.751818836874083</v>
      </c>
      <c r="P105" s="3">
        <v>274750</v>
      </c>
      <c r="Q105" s="3">
        <v>238048.60669006704</v>
      </c>
      <c r="R105" s="3">
        <v>477828.18347485724</v>
      </c>
      <c r="S105" s="3">
        <v>97090.876666369906</v>
      </c>
      <c r="T105" s="3">
        <v>78622.736686098782</v>
      </c>
      <c r="U105" s="3">
        <v>196251.93362705503</v>
      </c>
      <c r="V105" s="3">
        <v>140942.84043983545</v>
      </c>
      <c r="W105" s="3">
        <v>0</v>
      </c>
      <c r="X105" s="3">
        <v>1178506.7824157167</v>
      </c>
      <c r="Y105" s="3">
        <v>0</v>
      </c>
      <c r="Z105" s="3">
        <v>91701.237978966383</v>
      </c>
      <c r="AA105" s="3">
        <v>-91701.237978966383</v>
      </c>
      <c r="AB105" s="3">
        <v>0</v>
      </c>
      <c r="AC105" s="3">
        <v>56732.812479837776</v>
      </c>
      <c r="AD105" s="3">
        <v>-56732.812479837776</v>
      </c>
      <c r="AE105" s="3">
        <v>-148434.05045880415</v>
      </c>
      <c r="AF105" s="3">
        <v>0</v>
      </c>
      <c r="AG105" s="3">
        <v>1030072.7319569124</v>
      </c>
      <c r="AH105" s="3">
        <v>1030072.7319569124</v>
      </c>
      <c r="AI105" s="3">
        <v>7900000</v>
      </c>
      <c r="AJ105" s="3">
        <v>237000</v>
      </c>
    </row>
    <row r="106" spans="1:36" x14ac:dyDescent="0.2">
      <c r="A106" s="3" t="s">
        <v>36</v>
      </c>
      <c r="B106" s="3" t="s">
        <v>37</v>
      </c>
      <c r="C106" s="3" t="s">
        <v>60</v>
      </c>
      <c r="D106" s="3">
        <v>1</v>
      </c>
      <c r="E106" s="3">
        <v>2022</v>
      </c>
      <c r="F106" s="3">
        <v>1</v>
      </c>
      <c r="G106" s="3" t="s">
        <v>48</v>
      </c>
      <c r="H106" s="3" t="s">
        <v>46</v>
      </c>
      <c r="I106" s="5">
        <v>9318541.9999999981</v>
      </c>
      <c r="J106" s="3">
        <v>415688.2</v>
      </c>
      <c r="K106" s="3">
        <v>8902853.7999999989</v>
      </c>
      <c r="L106" s="3">
        <v>4807080.1320000002</v>
      </c>
      <c r="M106" s="3">
        <v>4095773.6679999996</v>
      </c>
      <c r="N106" s="3">
        <v>3328815.0191326877</v>
      </c>
      <c r="O106" s="3">
        <f t="shared" si="2"/>
        <v>37.390426641990778</v>
      </c>
      <c r="P106" s="3">
        <v>631924.99999999988</v>
      </c>
      <c r="Q106" s="3">
        <v>601112.60386866995</v>
      </c>
      <c r="R106" s="3">
        <v>1285881.7983125153</v>
      </c>
      <c r="S106" s="3">
        <v>313381.0179626242</v>
      </c>
      <c r="T106" s="3">
        <v>111142.40540306599</v>
      </c>
      <c r="U106" s="3">
        <v>249039.16521352401</v>
      </c>
      <c r="V106" s="3">
        <v>136383.02837228662</v>
      </c>
      <c r="W106" s="3">
        <v>0</v>
      </c>
      <c r="X106" s="3">
        <v>766958.648867312</v>
      </c>
      <c r="Y106" s="3">
        <v>0</v>
      </c>
      <c r="Z106" s="3">
        <v>116657.22956192993</v>
      </c>
      <c r="AA106" s="3">
        <v>-116657.22956192993</v>
      </c>
      <c r="AB106" s="3">
        <v>0</v>
      </c>
      <c r="AC106" s="3">
        <v>196637.68913794373</v>
      </c>
      <c r="AD106" s="3">
        <v>-196637.68913794373</v>
      </c>
      <c r="AE106" s="3">
        <v>453663.73016743839</v>
      </c>
      <c r="AF106" s="3">
        <v>0</v>
      </c>
      <c r="AG106" s="3">
        <v>453663.73016743839</v>
      </c>
      <c r="AH106" s="3">
        <v>453663.73016743839</v>
      </c>
      <c r="AI106" s="3">
        <v>11500000</v>
      </c>
      <c r="AJ106" s="3">
        <v>230000</v>
      </c>
    </row>
    <row r="107" spans="1:36" x14ac:dyDescent="0.2">
      <c r="A107" s="3" t="s">
        <v>36</v>
      </c>
      <c r="B107" s="3" t="s">
        <v>37</v>
      </c>
      <c r="C107" s="3" t="s">
        <v>60</v>
      </c>
      <c r="D107" s="3">
        <v>2</v>
      </c>
      <c r="E107" s="3">
        <v>2022</v>
      </c>
      <c r="F107" s="3">
        <v>1</v>
      </c>
      <c r="G107" s="3" t="s">
        <v>48</v>
      </c>
      <c r="H107" s="3" t="s">
        <v>46</v>
      </c>
      <c r="I107" s="5">
        <v>10992786</v>
      </c>
      <c r="J107" s="3">
        <v>124104.75</v>
      </c>
      <c r="K107" s="3">
        <v>10868681.25</v>
      </c>
      <c r="L107" s="3">
        <v>6100749.584999999</v>
      </c>
      <c r="M107" s="3">
        <v>4767931.665</v>
      </c>
      <c r="N107" s="3">
        <v>3316874.7248784662</v>
      </c>
      <c r="O107" s="3">
        <f t="shared" si="2"/>
        <v>30.5177293232191</v>
      </c>
      <c r="P107" s="3">
        <v>576975</v>
      </c>
      <c r="Q107" s="3">
        <v>479177.66054012731</v>
      </c>
      <c r="R107" s="3">
        <v>1148363.4345255138</v>
      </c>
      <c r="S107" s="3">
        <v>190350.57255205134</v>
      </c>
      <c r="T107" s="3">
        <v>80337.358993739515</v>
      </c>
      <c r="U107" s="3">
        <v>337038.79535208491</v>
      </c>
      <c r="V107" s="3">
        <v>504631.90291494946</v>
      </c>
      <c r="W107" s="3">
        <v>0</v>
      </c>
      <c r="X107" s="3">
        <v>1451056.9401215343</v>
      </c>
      <c r="Y107" s="3">
        <v>0</v>
      </c>
      <c r="Z107" s="3">
        <v>128728.06727527357</v>
      </c>
      <c r="AA107" s="3">
        <v>-128728.06727527357</v>
      </c>
      <c r="AB107" s="3">
        <v>0</v>
      </c>
      <c r="AC107" s="3">
        <v>101233.17735333028</v>
      </c>
      <c r="AD107" s="3">
        <v>-101233.17735333028</v>
      </c>
      <c r="AE107" s="3">
        <v>1221095.6954929305</v>
      </c>
      <c r="AF107" s="3">
        <v>0</v>
      </c>
      <c r="AG107" s="3">
        <v>1221095.6954929305</v>
      </c>
      <c r="AH107" s="3">
        <v>1221095.6954929305</v>
      </c>
      <c r="AI107" s="3">
        <v>10500000</v>
      </c>
      <c r="AJ107" s="3">
        <v>315000</v>
      </c>
    </row>
    <row r="108" spans="1:36" x14ac:dyDescent="0.2">
      <c r="A108" s="3" t="s">
        <v>36</v>
      </c>
      <c r="B108" s="3" t="s">
        <v>37</v>
      </c>
      <c r="C108" s="3" t="s">
        <v>61</v>
      </c>
      <c r="D108" s="3">
        <v>3</v>
      </c>
      <c r="E108" s="3">
        <v>2022</v>
      </c>
      <c r="F108" s="3">
        <v>1</v>
      </c>
      <c r="G108" s="3" t="s">
        <v>48</v>
      </c>
      <c r="H108" s="3" t="s">
        <v>46</v>
      </c>
      <c r="I108" s="5">
        <v>15179728.902000001</v>
      </c>
      <c r="J108" s="3">
        <v>784427.44900000002</v>
      </c>
      <c r="K108" s="3">
        <v>14395301.453</v>
      </c>
      <c r="L108" s="3">
        <v>9828643.8640000001</v>
      </c>
      <c r="M108" s="3">
        <v>4566657.5889999997</v>
      </c>
      <c r="N108" s="3">
        <v>2606589.1333080125</v>
      </c>
      <c r="O108" s="3">
        <f t="shared" si="2"/>
        <v>18.107221594618263</v>
      </c>
      <c r="P108" s="3">
        <v>701026.57170000009</v>
      </c>
      <c r="Q108" s="3">
        <v>74622.226296823384</v>
      </c>
      <c r="R108" s="3">
        <v>714942.41943816363</v>
      </c>
      <c r="S108" s="3">
        <v>216365.03909580532</v>
      </c>
      <c r="T108" s="3">
        <v>169940.55157833823</v>
      </c>
      <c r="U108" s="3">
        <v>424192.32978434267</v>
      </c>
      <c r="V108" s="3">
        <v>305499.99541453947</v>
      </c>
      <c r="W108" s="3">
        <v>0</v>
      </c>
      <c r="X108" s="3">
        <v>1960068.4556919874</v>
      </c>
      <c r="Y108" s="3">
        <v>0</v>
      </c>
      <c r="Z108" s="3">
        <v>709937.16936503956</v>
      </c>
      <c r="AA108" s="3">
        <v>-709937.16936503956</v>
      </c>
      <c r="AB108" s="3">
        <v>0</v>
      </c>
      <c r="AC108" s="3">
        <v>120722.45883543041</v>
      </c>
      <c r="AD108" s="3">
        <v>-120722.45883543041</v>
      </c>
      <c r="AE108" s="3">
        <v>-830659.62820047</v>
      </c>
      <c r="AF108" s="3">
        <v>0</v>
      </c>
      <c r="AG108" s="3">
        <v>1129408.8274915176</v>
      </c>
      <c r="AH108" s="3">
        <v>1129408.8274915176</v>
      </c>
      <c r="AI108" s="3">
        <v>15730000</v>
      </c>
      <c r="AJ108" s="3">
        <v>2359500</v>
      </c>
    </row>
    <row r="109" spans="1:36" x14ac:dyDescent="0.2">
      <c r="A109" s="3" t="s">
        <v>36</v>
      </c>
      <c r="B109" s="3" t="s">
        <v>37</v>
      </c>
      <c r="C109" s="3" t="s">
        <v>61</v>
      </c>
      <c r="D109" s="3">
        <v>2</v>
      </c>
      <c r="E109" s="3">
        <v>2022</v>
      </c>
      <c r="F109" s="3">
        <v>1</v>
      </c>
      <c r="G109" s="3" t="s">
        <v>48</v>
      </c>
      <c r="H109" s="3" t="s">
        <v>46</v>
      </c>
      <c r="I109" s="5">
        <v>16351413</v>
      </c>
      <c r="J109" s="3">
        <v>395326.65</v>
      </c>
      <c r="K109" s="3">
        <v>15956086.35</v>
      </c>
      <c r="L109" s="3">
        <v>10481801.58</v>
      </c>
      <c r="M109" s="3">
        <v>5474284.7699999996</v>
      </c>
      <c r="N109" s="3">
        <v>2768475.1563339932</v>
      </c>
      <c r="O109" s="3">
        <f t="shared" si="2"/>
        <v>17.350590211201716</v>
      </c>
      <c r="P109" s="3">
        <v>808876.81349999993</v>
      </c>
      <c r="Q109" s="3">
        <v>85329.734355045584</v>
      </c>
      <c r="R109" s="3">
        <v>812286.73533414316</v>
      </c>
      <c r="S109" s="3">
        <v>285820.4114697029</v>
      </c>
      <c r="T109" s="3">
        <v>119499.21850892933</v>
      </c>
      <c r="U109" s="3">
        <v>501334.28776148468</v>
      </c>
      <c r="V109" s="3">
        <v>155327.9554046875</v>
      </c>
      <c r="W109" s="3">
        <v>0</v>
      </c>
      <c r="X109" s="3">
        <v>2705809.6136660073</v>
      </c>
      <c r="Y109" s="3">
        <v>0</v>
      </c>
      <c r="Z109" s="3">
        <v>656583.44936081604</v>
      </c>
      <c r="AA109" s="3">
        <v>-656583.44936081604</v>
      </c>
      <c r="AB109" s="3">
        <v>0</v>
      </c>
      <c r="AC109" s="3">
        <v>72111.142210066711</v>
      </c>
      <c r="AD109" s="3">
        <v>-72111.142210066711</v>
      </c>
      <c r="AE109" s="3">
        <v>1977115.0220951242</v>
      </c>
      <c r="AF109" s="3">
        <v>0</v>
      </c>
      <c r="AG109" s="3">
        <v>1977115.0220951242</v>
      </c>
      <c r="AH109" s="3">
        <v>1977115.0220951242</v>
      </c>
      <c r="AI109" s="3">
        <v>9900000</v>
      </c>
      <c r="AJ109" s="3">
        <v>1520972.5527491714</v>
      </c>
    </row>
    <row r="110" spans="1:36" x14ac:dyDescent="0.2">
      <c r="A110" s="3" t="s">
        <v>36</v>
      </c>
      <c r="B110" s="3" t="s">
        <v>37</v>
      </c>
      <c r="C110" s="3" t="s">
        <v>61</v>
      </c>
      <c r="D110" s="3">
        <v>1</v>
      </c>
      <c r="E110" s="3">
        <v>2022</v>
      </c>
      <c r="F110" s="3">
        <v>1</v>
      </c>
      <c r="G110" s="3" t="s">
        <v>48</v>
      </c>
      <c r="H110" s="3" t="s">
        <v>46</v>
      </c>
      <c r="I110" s="5">
        <v>27339044.959999997</v>
      </c>
      <c r="J110" s="3">
        <v>1676946.7999999998</v>
      </c>
      <c r="K110" s="3">
        <v>25662098.16</v>
      </c>
      <c r="L110" s="3">
        <v>14502259.979999999</v>
      </c>
      <c r="M110" s="3">
        <v>11159838.18</v>
      </c>
      <c r="N110" s="3">
        <v>5660509.5051309476</v>
      </c>
      <c r="O110" s="3">
        <f t="shared" si="2"/>
        <v>22.057859298325386</v>
      </c>
      <c r="P110" s="3">
        <v>1078502.4180000001</v>
      </c>
      <c r="Q110" s="3">
        <v>156557.6485152528</v>
      </c>
      <c r="R110" s="3">
        <v>1980609.8633367261</v>
      </c>
      <c r="S110" s="3">
        <v>654877.52570881101</v>
      </c>
      <c r="T110" s="3">
        <v>326073.24389126193</v>
      </c>
      <c r="U110" s="3">
        <v>730639.29256029555</v>
      </c>
      <c r="V110" s="3">
        <v>733249.51311860117</v>
      </c>
      <c r="W110" s="3">
        <v>0</v>
      </c>
      <c r="X110" s="3">
        <v>5499328.6748690521</v>
      </c>
      <c r="Y110" s="3">
        <v>0</v>
      </c>
      <c r="Z110" s="3">
        <v>1022430.5653280306</v>
      </c>
      <c r="AA110" s="3">
        <v>-1022430.5653280306</v>
      </c>
      <c r="AB110" s="3">
        <v>0</v>
      </c>
      <c r="AC110" s="3">
        <v>159570.65560993861</v>
      </c>
      <c r="AD110" s="3">
        <v>-159570.65560993861</v>
      </c>
      <c r="AE110" s="3">
        <v>4317327.453931083</v>
      </c>
      <c r="AF110" s="3">
        <v>0</v>
      </c>
      <c r="AG110" s="3">
        <v>4317327.453931083</v>
      </c>
      <c r="AH110" s="3">
        <v>4317327.453931083</v>
      </c>
      <c r="AI110" s="3">
        <v>15400000.000000002</v>
      </c>
      <c r="AJ110" s="3">
        <v>1540000.0000000002</v>
      </c>
    </row>
    <row r="111" spans="1:36" x14ac:dyDescent="0.2">
      <c r="A111" s="3" t="s">
        <v>36</v>
      </c>
      <c r="B111" s="3" t="s">
        <v>37</v>
      </c>
      <c r="C111" s="3" t="s">
        <v>62</v>
      </c>
      <c r="D111" s="3">
        <v>3</v>
      </c>
      <c r="E111" s="3">
        <v>2022</v>
      </c>
      <c r="F111" s="3">
        <v>1</v>
      </c>
      <c r="G111" s="3" t="s">
        <v>48</v>
      </c>
      <c r="H111" s="3" t="s">
        <v>46</v>
      </c>
      <c r="I111" s="5">
        <v>13332744.1</v>
      </c>
      <c r="J111" s="3">
        <v>547610.69999999995</v>
      </c>
      <c r="K111" s="3">
        <v>12785133.4</v>
      </c>
      <c r="L111" s="3">
        <v>7100588.7030000007</v>
      </c>
      <c r="M111" s="3">
        <v>5684544.6970000006</v>
      </c>
      <c r="N111" s="3">
        <v>2075428.1067013459</v>
      </c>
      <c r="O111" s="3">
        <f t="shared" si="2"/>
        <v>16.233136110268084</v>
      </c>
      <c r="P111" s="3">
        <v>538451.9059919999</v>
      </c>
      <c r="Q111" s="3">
        <v>98288.373346287422</v>
      </c>
      <c r="R111" s="3">
        <v>584293.11714032874</v>
      </c>
      <c r="S111" s="3">
        <v>135969.57679767051</v>
      </c>
      <c r="T111" s="3">
        <v>144925.37462290438</v>
      </c>
      <c r="U111" s="3">
        <v>361751.39915218821</v>
      </c>
      <c r="V111" s="3">
        <v>211748.35964996624</v>
      </c>
      <c r="W111" s="3">
        <v>0</v>
      </c>
      <c r="X111" s="3">
        <v>3609116.5902986545</v>
      </c>
      <c r="Y111" s="3">
        <v>0</v>
      </c>
      <c r="Z111" s="3">
        <v>231557.4121411544</v>
      </c>
      <c r="AA111" s="3">
        <v>-231557.4121411544</v>
      </c>
      <c r="AB111" s="3">
        <v>0</v>
      </c>
      <c r="AC111" s="3">
        <v>163194.37323926509</v>
      </c>
      <c r="AD111" s="3">
        <v>-163194.37323926509</v>
      </c>
      <c r="AE111" s="3">
        <v>-394751.78538041946</v>
      </c>
      <c r="AF111" s="3">
        <v>0</v>
      </c>
      <c r="AG111" s="3">
        <v>3214364.8049182352</v>
      </c>
      <c r="AH111" s="3">
        <v>3214364.8049182352</v>
      </c>
      <c r="AI111" s="3">
        <v>15015000</v>
      </c>
      <c r="AJ111" s="3">
        <v>3756590.2938632471</v>
      </c>
    </row>
    <row r="112" spans="1:36" x14ac:dyDescent="0.2">
      <c r="A112" s="3" t="s">
        <v>36</v>
      </c>
      <c r="B112" s="3" t="s">
        <v>37</v>
      </c>
      <c r="C112" s="3" t="s">
        <v>62</v>
      </c>
      <c r="D112" s="3">
        <v>1</v>
      </c>
      <c r="E112" s="3">
        <v>2022</v>
      </c>
      <c r="F112" s="3">
        <v>1</v>
      </c>
      <c r="G112" s="3" t="s">
        <v>48</v>
      </c>
      <c r="H112" s="3" t="s">
        <v>46</v>
      </c>
      <c r="I112" s="5">
        <v>14601782.5</v>
      </c>
      <c r="J112" s="3">
        <v>397700</v>
      </c>
      <c r="K112" s="3">
        <v>14204082.5</v>
      </c>
      <c r="L112" s="3">
        <v>6325337.2750000004</v>
      </c>
      <c r="M112" s="3">
        <v>7878745.2249999996</v>
      </c>
      <c r="N112" s="3">
        <v>3594948.8427405506</v>
      </c>
      <c r="O112" s="3">
        <f t="shared" si="2"/>
        <v>25.309264732449638</v>
      </c>
      <c r="P112" s="3">
        <v>1035484.4345999999</v>
      </c>
      <c r="Q112" s="3">
        <v>193876.52836842224</v>
      </c>
      <c r="R112" s="3">
        <v>912341.01965134405</v>
      </c>
      <c r="S112" s="3">
        <v>466057.84634936013</v>
      </c>
      <c r="T112" s="3">
        <v>174155.70270782642</v>
      </c>
      <c r="U112" s="3">
        <v>390234.40839022293</v>
      </c>
      <c r="V112" s="3">
        <v>422798.90267337527</v>
      </c>
      <c r="W112" s="3">
        <v>0</v>
      </c>
      <c r="X112" s="3">
        <v>4283796.382259449</v>
      </c>
      <c r="Y112" s="3">
        <v>0</v>
      </c>
      <c r="Z112" s="3">
        <v>377613.31754640857</v>
      </c>
      <c r="AA112" s="3">
        <v>-377613.31754640857</v>
      </c>
      <c r="AB112" s="3">
        <v>0</v>
      </c>
      <c r="AC112" s="3">
        <v>310650.84905931284</v>
      </c>
      <c r="AD112" s="3">
        <v>-310650.84905931284</v>
      </c>
      <c r="AE112" s="3">
        <v>3595532.2156537282</v>
      </c>
      <c r="AF112" s="3">
        <v>0</v>
      </c>
      <c r="AG112" s="3">
        <v>3595532.2156537282</v>
      </c>
      <c r="AH112" s="3">
        <v>3595532.2156537282</v>
      </c>
      <c r="AI112" s="3">
        <v>18375000.000000004</v>
      </c>
      <c r="AJ112" s="3">
        <v>5550102.8575617149</v>
      </c>
    </row>
    <row r="113" spans="1:36" x14ac:dyDescent="0.2">
      <c r="A113" s="3" t="s">
        <v>36</v>
      </c>
      <c r="B113" s="3" t="s">
        <v>37</v>
      </c>
      <c r="C113" s="3" t="s">
        <v>62</v>
      </c>
      <c r="D113" s="3">
        <v>2</v>
      </c>
      <c r="E113" s="3">
        <v>2022</v>
      </c>
      <c r="F113" s="3">
        <v>1</v>
      </c>
      <c r="G113" s="3" t="s">
        <v>48</v>
      </c>
      <c r="H113" s="3" t="s">
        <v>46</v>
      </c>
      <c r="I113" s="5">
        <v>14604502</v>
      </c>
      <c r="J113" s="3">
        <v>435245.80000000005</v>
      </c>
      <c r="K113" s="3">
        <v>14169256.200000001</v>
      </c>
      <c r="L113" s="3">
        <v>7922709.2340000011</v>
      </c>
      <c r="M113" s="3">
        <v>6246546.966</v>
      </c>
      <c r="N113" s="3">
        <v>3652274.2006854368</v>
      </c>
      <c r="O113" s="3">
        <f t="shared" si="2"/>
        <v>25.776047444787093</v>
      </c>
      <c r="P113" s="3">
        <v>911226.30244800006</v>
      </c>
      <c r="Q113" s="3">
        <v>159757.09861476082</v>
      </c>
      <c r="R113" s="3">
        <v>1008206.6868739716</v>
      </c>
      <c r="S113" s="3">
        <v>203655.45112418564</v>
      </c>
      <c r="T113" s="3">
        <v>106732.46255305858</v>
      </c>
      <c r="U113" s="3">
        <v>447774.00022133742</v>
      </c>
      <c r="V113" s="3">
        <v>814922.1988501224</v>
      </c>
      <c r="W113" s="3">
        <v>0</v>
      </c>
      <c r="X113" s="3">
        <v>2594272.7653145641</v>
      </c>
      <c r="Y113" s="3">
        <v>0</v>
      </c>
      <c r="Z113" s="3">
        <v>353300.61385413981</v>
      </c>
      <c r="AA113" s="3">
        <v>-353300.61385413981</v>
      </c>
      <c r="AB113" s="3">
        <v>0</v>
      </c>
      <c r="AC113" s="3">
        <v>234236.95874422253</v>
      </c>
      <c r="AD113" s="3">
        <v>-234236.95874422253</v>
      </c>
      <c r="AE113" s="3">
        <v>2006735.1927162011</v>
      </c>
      <c r="AF113" s="3">
        <v>0</v>
      </c>
      <c r="AG113" s="3">
        <v>2006735.1927162011</v>
      </c>
      <c r="AH113" s="3">
        <v>2006735.1927162011</v>
      </c>
      <c r="AI113" s="3">
        <v>13860000</v>
      </c>
      <c r="AJ113" s="3">
        <v>2408783.3152822289</v>
      </c>
    </row>
    <row r="114" spans="1:36" x14ac:dyDescent="0.2">
      <c r="A114" s="3" t="s">
        <v>36</v>
      </c>
      <c r="B114" s="3" t="s">
        <v>37</v>
      </c>
      <c r="C114" s="3" t="s">
        <v>63</v>
      </c>
      <c r="D114" s="3">
        <v>2</v>
      </c>
      <c r="E114" s="3">
        <v>2022</v>
      </c>
      <c r="F114" s="3">
        <v>1</v>
      </c>
      <c r="G114" s="3" t="s">
        <v>48</v>
      </c>
      <c r="H114" s="3" t="s">
        <v>46</v>
      </c>
      <c r="I114" s="5">
        <v>172195591</v>
      </c>
      <c r="J114" s="3">
        <v>5521281</v>
      </c>
      <c r="K114" s="3">
        <v>166674310</v>
      </c>
      <c r="L114" s="3">
        <v>120395303.104</v>
      </c>
      <c r="M114" s="3">
        <v>46279006.89599999</v>
      </c>
      <c r="N114" s="3">
        <v>16457840.074715987</v>
      </c>
      <c r="O114" s="3">
        <f t="shared" si="2"/>
        <v>9.8742512116690246</v>
      </c>
      <c r="P114" s="3">
        <v>1169327.4118679997</v>
      </c>
      <c r="Q114" s="3">
        <v>263781.9050896031</v>
      </c>
      <c r="R114" s="3">
        <v>4862137.7980695572</v>
      </c>
      <c r="S114" s="3">
        <v>1863407.4873797549</v>
      </c>
      <c r="T114" s="3">
        <v>1258437.9438757508</v>
      </c>
      <c r="U114" s="3">
        <v>5279516.4533886407</v>
      </c>
      <c r="V114" s="3">
        <v>1761231.0750446797</v>
      </c>
      <c r="W114" s="3">
        <v>0</v>
      </c>
      <c r="X114" s="3">
        <v>29821166.821284015</v>
      </c>
      <c r="Y114" s="3">
        <v>0</v>
      </c>
      <c r="Z114" s="3">
        <v>7255407.6763259992</v>
      </c>
      <c r="AA114" s="3">
        <v>-7255407.6763259992</v>
      </c>
      <c r="AB114" s="3">
        <v>0</v>
      </c>
      <c r="AC114" s="3">
        <v>697797.15853826539</v>
      </c>
      <c r="AD114" s="3">
        <v>-697797.15853826539</v>
      </c>
      <c r="AE114" s="3">
        <v>21867961.986419745</v>
      </c>
      <c r="AF114" s="3">
        <v>0</v>
      </c>
      <c r="AG114" s="3">
        <v>21867961.986419745</v>
      </c>
      <c r="AH114" s="3">
        <v>21867961.986419745</v>
      </c>
      <c r="AI114" s="3">
        <v>154860000</v>
      </c>
      <c r="AJ114" s="3">
        <v>24361944.855834857</v>
      </c>
    </row>
    <row r="115" spans="1:36" x14ac:dyDescent="0.2">
      <c r="A115" s="3" t="s">
        <v>36</v>
      </c>
      <c r="B115" s="3" t="s">
        <v>37</v>
      </c>
      <c r="C115" s="3" t="s">
        <v>63</v>
      </c>
      <c r="D115" s="3">
        <v>3</v>
      </c>
      <c r="E115" s="3">
        <v>2022</v>
      </c>
      <c r="F115" s="3">
        <v>1</v>
      </c>
      <c r="G115" s="3" t="s">
        <v>48</v>
      </c>
      <c r="H115" s="3" t="s">
        <v>46</v>
      </c>
      <c r="I115" s="5">
        <v>188970419</v>
      </c>
      <c r="J115" s="3">
        <v>11536149</v>
      </c>
      <c r="K115" s="3">
        <v>177434270</v>
      </c>
      <c r="L115" s="3">
        <v>130129407</v>
      </c>
      <c r="M115" s="3">
        <v>47304863</v>
      </c>
      <c r="N115" s="3">
        <v>13405076.46375479</v>
      </c>
      <c r="O115" s="3">
        <f t="shared" si="2"/>
        <v>7.5549534279678836</v>
      </c>
      <c r="P115" s="3">
        <v>685467.79316399968</v>
      </c>
      <c r="Q115" s="3">
        <v>230222.11403303483</v>
      </c>
      <c r="R115" s="3">
        <v>3106251.9632100989</v>
      </c>
      <c r="S115" s="3">
        <v>1209634.3076846879</v>
      </c>
      <c r="T115" s="3">
        <v>2054086.4326813421</v>
      </c>
      <c r="U115" s="3">
        <v>5127250.0963717783</v>
      </c>
      <c r="V115" s="3">
        <v>992163.75660984893</v>
      </c>
      <c r="W115" s="3">
        <v>0</v>
      </c>
      <c r="X115" s="3">
        <v>33899786.536245212</v>
      </c>
      <c r="Y115" s="3">
        <v>0</v>
      </c>
      <c r="Z115" s="3">
        <v>4121195.200703715</v>
      </c>
      <c r="AA115" s="3">
        <v>-4121195.200703715</v>
      </c>
      <c r="AB115" s="3">
        <v>0</v>
      </c>
      <c r="AC115" s="3">
        <v>712941.48155507399</v>
      </c>
      <c r="AD115" s="3">
        <v>-712941.48155507399</v>
      </c>
      <c r="AE115" s="3">
        <v>-4834136.6822587894</v>
      </c>
      <c r="AF115" s="3">
        <v>0</v>
      </c>
      <c r="AG115" s="3">
        <v>29065649.853986423</v>
      </c>
      <c r="AH115" s="3">
        <v>29065649.853986423</v>
      </c>
      <c r="AI115" s="3">
        <v>147900000</v>
      </c>
      <c r="AJ115" s="3">
        <v>22185000</v>
      </c>
    </row>
    <row r="116" spans="1:36" x14ac:dyDescent="0.2">
      <c r="A116" s="3" t="s">
        <v>36</v>
      </c>
      <c r="B116" s="3" t="s">
        <v>37</v>
      </c>
      <c r="C116" s="3" t="s">
        <v>63</v>
      </c>
      <c r="D116" s="3">
        <v>1</v>
      </c>
      <c r="E116" s="3">
        <v>2022</v>
      </c>
      <c r="F116" s="3">
        <v>1</v>
      </c>
      <c r="G116" s="3" t="s">
        <v>48</v>
      </c>
      <c r="H116" s="3" t="s">
        <v>46</v>
      </c>
      <c r="I116" s="5">
        <v>272567040</v>
      </c>
      <c r="J116" s="3">
        <v>15529590</v>
      </c>
      <c r="K116" s="3">
        <v>257037450</v>
      </c>
      <c r="L116" s="3">
        <v>200199350.46000001</v>
      </c>
      <c r="M116" s="3">
        <v>56838099.539999999</v>
      </c>
      <c r="N116" s="3">
        <v>27763688.008435525</v>
      </c>
      <c r="O116" s="3">
        <f t="shared" si="2"/>
        <v>10.801417462099598</v>
      </c>
      <c r="P116" s="3">
        <v>1209649.0467599998</v>
      </c>
      <c r="Q116" s="3">
        <v>737074.91121953935</v>
      </c>
      <c r="R116" s="3">
        <v>7394627.1625478854</v>
      </c>
      <c r="S116" s="3">
        <v>4855893.2312831031</v>
      </c>
      <c r="T116" s="3">
        <v>3250911.6189199667</v>
      </c>
      <c r="U116" s="3">
        <v>7284387.2041700548</v>
      </c>
      <c r="V116" s="3">
        <v>3031144.8335349774</v>
      </c>
      <c r="W116" s="3">
        <v>0</v>
      </c>
      <c r="X116" s="3">
        <v>29074411.531564474</v>
      </c>
      <c r="Y116" s="3">
        <v>0</v>
      </c>
      <c r="Z116" s="3">
        <v>6203171.9969930332</v>
      </c>
      <c r="AA116" s="3">
        <v>-6203171.9969930332</v>
      </c>
      <c r="AB116" s="3">
        <v>0</v>
      </c>
      <c r="AC116" s="3">
        <v>1593201.053584293</v>
      </c>
      <c r="AD116" s="3">
        <v>-1593201.053584293</v>
      </c>
      <c r="AE116" s="3">
        <v>21278038.480987146</v>
      </c>
      <c r="AF116" s="3">
        <v>0</v>
      </c>
      <c r="AG116" s="3">
        <v>21278038.480987146</v>
      </c>
      <c r="AH116" s="3">
        <v>21278038.480987146</v>
      </c>
      <c r="AI116" s="3">
        <v>186900000.00000003</v>
      </c>
      <c r="AJ116" s="3">
        <v>30002866.842398502</v>
      </c>
    </row>
    <row r="117" spans="1:36" x14ac:dyDescent="0.2">
      <c r="A117" s="3" t="s">
        <v>36</v>
      </c>
      <c r="B117" s="3" t="s">
        <v>37</v>
      </c>
      <c r="C117" s="3" t="s">
        <v>64</v>
      </c>
      <c r="D117" s="3">
        <v>2</v>
      </c>
      <c r="E117" s="3">
        <v>2022</v>
      </c>
      <c r="F117" s="3">
        <v>1</v>
      </c>
      <c r="G117" s="3" t="s">
        <v>48</v>
      </c>
      <c r="H117" s="3" t="s">
        <v>46</v>
      </c>
      <c r="I117" s="5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 t="e">
        <f t="shared" si="2"/>
        <v>#DIV/0!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</row>
    <row r="118" spans="1:36" x14ac:dyDescent="0.2">
      <c r="A118" s="3" t="s">
        <v>36</v>
      </c>
      <c r="B118" s="3" t="s">
        <v>37</v>
      </c>
      <c r="C118" s="3" t="s">
        <v>64</v>
      </c>
      <c r="D118" s="3">
        <v>3</v>
      </c>
      <c r="E118" s="3">
        <v>2022</v>
      </c>
      <c r="F118" s="3">
        <v>1</v>
      </c>
      <c r="G118" s="3" t="s">
        <v>48</v>
      </c>
      <c r="H118" s="3" t="s">
        <v>46</v>
      </c>
      <c r="I118" s="5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 t="e">
        <f t="shared" si="2"/>
        <v>#DIV/0!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</row>
    <row r="119" spans="1:36" x14ac:dyDescent="0.2">
      <c r="A119" s="3" t="s">
        <v>36</v>
      </c>
      <c r="B119" s="3" t="s">
        <v>37</v>
      </c>
      <c r="C119" s="3" t="s">
        <v>64</v>
      </c>
      <c r="D119" s="3">
        <v>1</v>
      </c>
      <c r="E119" s="3">
        <v>2022</v>
      </c>
      <c r="F119" s="3">
        <v>1</v>
      </c>
      <c r="G119" s="3" t="s">
        <v>48</v>
      </c>
      <c r="H119" s="3" t="s">
        <v>46</v>
      </c>
      <c r="I119" s="5">
        <v>700994</v>
      </c>
      <c r="J119" s="3">
        <v>17388</v>
      </c>
      <c r="K119" s="3">
        <v>683606</v>
      </c>
      <c r="L119" s="3">
        <v>462265.86000000004</v>
      </c>
      <c r="M119" s="3">
        <v>221340.13999999998</v>
      </c>
      <c r="N119" s="3">
        <v>988486.46908599278</v>
      </c>
      <c r="O119" s="3">
        <f t="shared" si="2"/>
        <v>144.59885798047307</v>
      </c>
      <c r="P119" s="3">
        <v>700907.89999999991</v>
      </c>
      <c r="Q119" s="3">
        <v>165518.21826943872</v>
      </c>
      <c r="R119" s="3">
        <v>14281.0809190071</v>
      </c>
      <c r="S119" s="3">
        <v>22270.376029247458</v>
      </c>
      <c r="T119" s="3">
        <v>8360.7670956590464</v>
      </c>
      <c r="U119" s="3">
        <v>18734.149674883589</v>
      </c>
      <c r="V119" s="3">
        <v>58413.977097756782</v>
      </c>
      <c r="W119" s="3">
        <v>0</v>
      </c>
      <c r="X119" s="3">
        <v>-767146.32908599277</v>
      </c>
      <c r="Y119" s="3">
        <v>0</v>
      </c>
      <c r="Z119" s="3">
        <v>13490.360021170263</v>
      </c>
      <c r="AA119" s="3">
        <v>-13490.360021170263</v>
      </c>
      <c r="AB119" s="3">
        <v>0</v>
      </c>
      <c r="AC119" s="3">
        <v>3026.9090013828081</v>
      </c>
      <c r="AD119" s="3">
        <v>-3026.9090013828081</v>
      </c>
      <c r="AE119" s="3">
        <v>-783663.59810854588</v>
      </c>
      <c r="AF119" s="3">
        <v>0</v>
      </c>
      <c r="AG119" s="3">
        <v>-783663.59810854588</v>
      </c>
      <c r="AH119" s="3">
        <v>-783663.59810854588</v>
      </c>
      <c r="AI119" s="3">
        <v>0</v>
      </c>
      <c r="AJ119" s="3">
        <v>0</v>
      </c>
    </row>
    <row r="120" spans="1:36" x14ac:dyDescent="0.2">
      <c r="A120" s="3" t="s">
        <v>36</v>
      </c>
      <c r="B120" s="3" t="s">
        <v>65</v>
      </c>
      <c r="C120" s="3" t="s">
        <v>66</v>
      </c>
      <c r="D120" s="3">
        <v>1</v>
      </c>
      <c r="E120" s="3">
        <v>2022</v>
      </c>
      <c r="F120" s="3">
        <v>1</v>
      </c>
      <c r="G120" s="3" t="s">
        <v>42</v>
      </c>
      <c r="H120" s="3" t="s">
        <v>40</v>
      </c>
      <c r="I120" s="5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 t="e">
        <f t="shared" si="2"/>
        <v>#DIV/0!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</row>
    <row r="121" spans="1:36" x14ac:dyDescent="0.2">
      <c r="A121" s="3" t="s">
        <v>36</v>
      </c>
      <c r="B121" s="3" t="s">
        <v>65</v>
      </c>
      <c r="C121" s="3" t="s">
        <v>66</v>
      </c>
      <c r="D121" s="3">
        <v>1</v>
      </c>
      <c r="E121" s="3">
        <v>2022</v>
      </c>
      <c r="F121" s="3">
        <v>1</v>
      </c>
      <c r="G121" s="3" t="s">
        <v>48</v>
      </c>
      <c r="H121" s="3" t="s">
        <v>46</v>
      </c>
      <c r="I121" s="5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 t="e">
        <f t="shared" si="2"/>
        <v>#DIV/0!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</row>
    <row r="122" spans="1:36" x14ac:dyDescent="0.2">
      <c r="A122" s="3" t="s">
        <v>36</v>
      </c>
      <c r="B122" s="3" t="s">
        <v>65</v>
      </c>
      <c r="C122" s="3" t="s">
        <v>66</v>
      </c>
      <c r="D122" s="3">
        <v>2</v>
      </c>
      <c r="E122" s="3">
        <v>2022</v>
      </c>
      <c r="F122" s="3">
        <v>1</v>
      </c>
      <c r="G122" s="3" t="s">
        <v>42</v>
      </c>
      <c r="H122" s="3" t="s">
        <v>40</v>
      </c>
      <c r="I122" s="5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 t="e">
        <f t="shared" si="2"/>
        <v>#DIV/0!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</row>
    <row r="123" spans="1:36" x14ac:dyDescent="0.2">
      <c r="A123" s="3" t="s">
        <v>36</v>
      </c>
      <c r="B123" s="3" t="s">
        <v>65</v>
      </c>
      <c r="C123" s="3" t="s">
        <v>66</v>
      </c>
      <c r="D123" s="3">
        <v>2</v>
      </c>
      <c r="E123" s="3">
        <v>2022</v>
      </c>
      <c r="F123" s="3">
        <v>1</v>
      </c>
      <c r="G123" s="3" t="s">
        <v>48</v>
      </c>
      <c r="H123" s="3" t="s">
        <v>46</v>
      </c>
      <c r="I123" s="5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 t="e">
        <f t="shared" si="2"/>
        <v>#DIV/0!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</row>
    <row r="124" spans="1:36" x14ac:dyDescent="0.2">
      <c r="A124" s="3" t="s">
        <v>36</v>
      </c>
      <c r="B124" s="3" t="s">
        <v>65</v>
      </c>
      <c r="C124" s="3" t="s">
        <v>66</v>
      </c>
      <c r="D124" s="3">
        <v>3</v>
      </c>
      <c r="E124" s="3">
        <v>2022</v>
      </c>
      <c r="F124" s="3">
        <v>1</v>
      </c>
      <c r="G124" s="3" t="s">
        <v>42</v>
      </c>
      <c r="H124" s="3" t="s">
        <v>40</v>
      </c>
      <c r="I124" s="5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 t="e">
        <f t="shared" si="2"/>
        <v>#DIV/0!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</row>
    <row r="125" spans="1:36" x14ac:dyDescent="0.2">
      <c r="A125" s="3" t="s">
        <v>36</v>
      </c>
      <c r="B125" s="3" t="s">
        <v>65</v>
      </c>
      <c r="C125" s="3" t="s">
        <v>66</v>
      </c>
      <c r="D125" s="3">
        <v>3</v>
      </c>
      <c r="E125" s="3">
        <v>2022</v>
      </c>
      <c r="F125" s="3">
        <v>1</v>
      </c>
      <c r="G125" s="3" t="s">
        <v>48</v>
      </c>
      <c r="H125" s="3" t="s">
        <v>46</v>
      </c>
      <c r="I125" s="5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 t="e">
        <f t="shared" si="2"/>
        <v>#DIV/0!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</row>
    <row r="126" spans="1:36" x14ac:dyDescent="0.2">
      <c r="A126" s="3" t="s">
        <v>36</v>
      </c>
      <c r="B126" s="3" t="s">
        <v>65</v>
      </c>
      <c r="C126" s="3" t="s">
        <v>66</v>
      </c>
      <c r="D126" s="3">
        <v>3</v>
      </c>
      <c r="E126" s="3">
        <v>2022</v>
      </c>
      <c r="F126" s="3">
        <v>1</v>
      </c>
      <c r="G126" s="3" t="s">
        <v>42</v>
      </c>
      <c r="H126" s="3" t="s">
        <v>46</v>
      </c>
      <c r="I126" s="5">
        <v>605904</v>
      </c>
      <c r="J126" s="3">
        <v>32736</v>
      </c>
      <c r="K126" s="3">
        <v>573168</v>
      </c>
      <c r="L126" s="3">
        <v>363542.39999999997</v>
      </c>
      <c r="M126" s="3">
        <v>209625.60000000001</v>
      </c>
      <c r="N126" s="3">
        <v>735534.18700380204</v>
      </c>
      <c r="O126" s="3">
        <f t="shared" si="2"/>
        <v>128.32785274191895</v>
      </c>
      <c r="P126" s="3">
        <v>195681.6</v>
      </c>
      <c r="Q126" s="3">
        <v>94245.321926000004</v>
      </c>
      <c r="R126" s="3">
        <v>201615.78619780217</v>
      </c>
      <c r="S126" s="3">
        <v>85506</v>
      </c>
      <c r="T126" s="3">
        <v>0</v>
      </c>
      <c r="U126" s="3">
        <v>20962.559999999998</v>
      </c>
      <c r="V126" s="3">
        <v>137522.91887999998</v>
      </c>
      <c r="W126" s="3">
        <v>0</v>
      </c>
      <c r="X126" s="3">
        <v>-525908.58700380207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-525908.58700380207</v>
      </c>
      <c r="AF126" s="3">
        <v>0</v>
      </c>
      <c r="AG126" s="3">
        <v>-525908.58700380207</v>
      </c>
      <c r="AH126" s="3">
        <v>-525908.58700380207</v>
      </c>
      <c r="AI126" s="3">
        <v>240000</v>
      </c>
      <c r="AJ126" s="3">
        <v>0</v>
      </c>
    </row>
    <row r="127" spans="1:36" x14ac:dyDescent="0.2">
      <c r="A127" s="3" t="s">
        <v>36</v>
      </c>
      <c r="B127" s="3" t="s">
        <v>65</v>
      </c>
      <c r="C127" s="3" t="s">
        <v>66</v>
      </c>
      <c r="D127" s="3">
        <v>1</v>
      </c>
      <c r="E127" s="3">
        <v>2022</v>
      </c>
      <c r="F127" s="3">
        <v>1</v>
      </c>
      <c r="G127" s="3" t="s">
        <v>42</v>
      </c>
      <c r="H127" s="3" t="s">
        <v>46</v>
      </c>
      <c r="I127" s="5">
        <v>954480</v>
      </c>
      <c r="J127" s="3">
        <v>40160</v>
      </c>
      <c r="K127" s="3">
        <v>914320</v>
      </c>
      <c r="L127" s="3">
        <v>381792</v>
      </c>
      <c r="M127" s="3">
        <v>532528</v>
      </c>
      <c r="N127" s="3">
        <v>679598.66732680926</v>
      </c>
      <c r="O127" s="3">
        <f t="shared" si="2"/>
        <v>74.328316926985011</v>
      </c>
      <c r="P127" s="3">
        <v>163068</v>
      </c>
      <c r="Q127" s="3">
        <v>78537.76827166666</v>
      </c>
      <c r="R127" s="3">
        <v>163514.03538461536</v>
      </c>
      <c r="S127" s="3">
        <v>103357.4</v>
      </c>
      <c r="T127" s="3">
        <v>0</v>
      </c>
      <c r="U127" s="3">
        <v>33152.71767052717</v>
      </c>
      <c r="V127" s="3">
        <v>137968.74599999998</v>
      </c>
      <c r="W127" s="3">
        <v>0</v>
      </c>
      <c r="X127" s="3">
        <v>-147070.66732680917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-147070.66732680917</v>
      </c>
      <c r="AF127" s="3">
        <v>0</v>
      </c>
      <c r="AG127" s="3">
        <v>-147070.66732680917</v>
      </c>
      <c r="AH127" s="3">
        <v>-147070.66732680917</v>
      </c>
      <c r="AI127" s="3">
        <v>900000</v>
      </c>
      <c r="AJ127" s="3">
        <v>-300000</v>
      </c>
    </row>
    <row r="128" spans="1:36" x14ac:dyDescent="0.2">
      <c r="A128" s="3" t="s">
        <v>36</v>
      </c>
      <c r="B128" s="3" t="s">
        <v>65</v>
      </c>
      <c r="C128" s="3" t="s">
        <v>66</v>
      </c>
      <c r="D128" s="3">
        <v>2</v>
      </c>
      <c r="E128" s="3">
        <v>2022</v>
      </c>
      <c r="F128" s="3">
        <v>1</v>
      </c>
      <c r="G128" s="3" t="s">
        <v>42</v>
      </c>
      <c r="H128" s="3" t="s">
        <v>46</v>
      </c>
      <c r="I128" s="5">
        <v>4480220</v>
      </c>
      <c r="J128" s="3">
        <v>50040</v>
      </c>
      <c r="K128" s="3">
        <v>4430180</v>
      </c>
      <c r="L128" s="3">
        <v>2688132</v>
      </c>
      <c r="M128" s="3">
        <v>1742048</v>
      </c>
      <c r="N128" s="3">
        <v>899464.12723069557</v>
      </c>
      <c r="O128" s="3">
        <f t="shared" si="2"/>
        <v>20.303105680371804</v>
      </c>
      <c r="P128" s="3">
        <v>163068</v>
      </c>
      <c r="Q128" s="3">
        <v>78537.76827166666</v>
      </c>
      <c r="R128" s="3">
        <v>165361.87604395603</v>
      </c>
      <c r="S128" s="3">
        <v>278203</v>
      </c>
      <c r="T128" s="3">
        <v>0</v>
      </c>
      <c r="U128" s="3">
        <v>170379.18051507289</v>
      </c>
      <c r="V128" s="3">
        <v>43914.302400000008</v>
      </c>
      <c r="W128" s="3">
        <v>0</v>
      </c>
      <c r="X128" s="3">
        <v>842583.87276930443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842583.87276930443</v>
      </c>
      <c r="AF128" s="3">
        <v>0</v>
      </c>
      <c r="AG128" s="3">
        <v>842583.87276930443</v>
      </c>
      <c r="AH128" s="3">
        <v>842583.87276930443</v>
      </c>
      <c r="AI128" s="3">
        <v>4400000</v>
      </c>
      <c r="AJ128" s="3">
        <v>1200000</v>
      </c>
    </row>
    <row r="129" spans="1:36" x14ac:dyDescent="0.2">
      <c r="A129" s="3" t="s">
        <v>36</v>
      </c>
      <c r="B129" s="3" t="s">
        <v>65</v>
      </c>
      <c r="C129" s="3" t="s">
        <v>66</v>
      </c>
      <c r="D129" s="3">
        <v>1</v>
      </c>
      <c r="E129" s="3">
        <v>2022</v>
      </c>
      <c r="F129" s="3">
        <v>1</v>
      </c>
      <c r="G129" s="3" t="s">
        <v>48</v>
      </c>
      <c r="H129" s="3" t="s">
        <v>46</v>
      </c>
      <c r="I129" s="5">
        <v>55579290</v>
      </c>
      <c r="J129" s="3">
        <v>2947108.05</v>
      </c>
      <c r="K129" s="3">
        <v>52632181.950000003</v>
      </c>
      <c r="L129" s="3">
        <v>42766927.695000008</v>
      </c>
      <c r="M129" s="3">
        <v>9865254.2550000008</v>
      </c>
      <c r="N129" s="3">
        <v>7939286.8735467549</v>
      </c>
      <c r="O129" s="3">
        <f t="shared" si="2"/>
        <v>15.084472236186199</v>
      </c>
      <c r="P129" s="3">
        <v>1569529.5</v>
      </c>
      <c r="Q129" s="3">
        <v>773652.64461479173</v>
      </c>
      <c r="R129" s="3">
        <v>2663862.3213461544</v>
      </c>
      <c r="S129" s="3">
        <v>524767.55500000005</v>
      </c>
      <c r="T129" s="3">
        <v>875233.7526273299</v>
      </c>
      <c r="U129" s="3">
        <v>767376.65870847879</v>
      </c>
      <c r="V129" s="3">
        <v>764864.44124999992</v>
      </c>
      <c r="W129" s="3">
        <v>0</v>
      </c>
      <c r="X129" s="3">
        <v>1925967.3814532445</v>
      </c>
      <c r="Y129" s="3">
        <v>0</v>
      </c>
      <c r="Z129" s="3">
        <v>504912.41368660831</v>
      </c>
      <c r="AA129" s="3">
        <v>-504912.41368660831</v>
      </c>
      <c r="AB129" s="3">
        <v>28800</v>
      </c>
      <c r="AC129" s="3">
        <v>0</v>
      </c>
      <c r="AD129" s="3">
        <v>28800</v>
      </c>
      <c r="AE129" s="3">
        <v>1449854.9677666365</v>
      </c>
      <c r="AF129" s="3">
        <v>0</v>
      </c>
      <c r="AG129" s="3">
        <v>1449854.9677666365</v>
      </c>
      <c r="AH129" s="3">
        <v>1449854.9677666365</v>
      </c>
      <c r="AI129" s="3">
        <v>51000000</v>
      </c>
      <c r="AJ129" s="3">
        <v>810000</v>
      </c>
    </row>
    <row r="130" spans="1:36" x14ac:dyDescent="0.2">
      <c r="A130" s="3" t="s">
        <v>36</v>
      </c>
      <c r="B130" s="3" t="s">
        <v>65</v>
      </c>
      <c r="C130" s="3" t="s">
        <v>66</v>
      </c>
      <c r="D130" s="3">
        <v>2</v>
      </c>
      <c r="E130" s="3">
        <v>2022</v>
      </c>
      <c r="F130" s="3">
        <v>1</v>
      </c>
      <c r="G130" s="3" t="s">
        <v>48</v>
      </c>
      <c r="H130" s="3" t="s">
        <v>46</v>
      </c>
      <c r="I130" s="5">
        <v>59017980</v>
      </c>
      <c r="J130" s="3">
        <v>941696</v>
      </c>
      <c r="K130" s="3">
        <v>58076284</v>
      </c>
      <c r="L130" s="3">
        <v>38341303.867999993</v>
      </c>
      <c r="M130" s="3">
        <v>19734980.131999996</v>
      </c>
      <c r="N130" s="3">
        <v>14684293.580524193</v>
      </c>
      <c r="O130" s="3">
        <f t="shared" si="2"/>
        <v>25.284492342044807</v>
      </c>
      <c r="P130" s="3">
        <v>2929788.4000000004</v>
      </c>
      <c r="Q130" s="3">
        <v>1829838.6112809447</v>
      </c>
      <c r="R130" s="3">
        <v>4666862.4947179491</v>
      </c>
      <c r="S130" s="3">
        <v>705663.38266666653</v>
      </c>
      <c r="T130" s="3">
        <v>1567577.3037114192</v>
      </c>
      <c r="U130" s="3">
        <v>1737047.6070272136</v>
      </c>
      <c r="V130" s="3">
        <v>1247515.7811199999</v>
      </c>
      <c r="W130" s="3">
        <v>0</v>
      </c>
      <c r="X130" s="3">
        <v>5050686.5514758062</v>
      </c>
      <c r="Y130" s="3">
        <v>0</v>
      </c>
      <c r="Z130" s="3">
        <v>1140389.6043470788</v>
      </c>
      <c r="AA130" s="3">
        <v>-1140389.6043470788</v>
      </c>
      <c r="AB130" s="3">
        <v>21280</v>
      </c>
      <c r="AC130" s="3">
        <v>0</v>
      </c>
      <c r="AD130" s="3">
        <v>21280</v>
      </c>
      <c r="AE130" s="3">
        <v>3931576.9471287271</v>
      </c>
      <c r="AF130" s="3">
        <v>0</v>
      </c>
      <c r="AG130" s="3">
        <v>3931576.9471287271</v>
      </c>
      <c r="AH130" s="3">
        <v>3931576.9471287271</v>
      </c>
      <c r="AI130" s="3">
        <v>42839999.999999993</v>
      </c>
      <c r="AJ130" s="3">
        <v>1400000</v>
      </c>
    </row>
    <row r="131" spans="1:36" x14ac:dyDescent="0.2">
      <c r="A131" s="3" t="s">
        <v>36</v>
      </c>
      <c r="B131" s="3" t="s">
        <v>65</v>
      </c>
      <c r="C131" s="3" t="s">
        <v>66</v>
      </c>
      <c r="D131" s="3">
        <v>3</v>
      </c>
      <c r="E131" s="3">
        <v>2022</v>
      </c>
      <c r="F131" s="3">
        <v>1</v>
      </c>
      <c r="G131" s="3" t="s">
        <v>48</v>
      </c>
      <c r="H131" s="3" t="s">
        <v>46</v>
      </c>
      <c r="I131" s="5">
        <v>98876425</v>
      </c>
      <c r="J131" s="3">
        <v>5262700</v>
      </c>
      <c r="K131" s="3">
        <v>93613725</v>
      </c>
      <c r="L131" s="3">
        <v>66159558.274999999</v>
      </c>
      <c r="M131" s="3">
        <v>27454166.724999998</v>
      </c>
      <c r="N131" s="3">
        <v>13846781.632641658</v>
      </c>
      <c r="O131" s="3">
        <f t="shared" si="2"/>
        <v>14.791401188919314</v>
      </c>
      <c r="P131" s="3">
        <v>2615882.5</v>
      </c>
      <c r="Q131" s="3">
        <v>1504778.4889413195</v>
      </c>
      <c r="R131" s="3">
        <v>4204476.9442307688</v>
      </c>
      <c r="S131" s="3">
        <v>746486.59166666667</v>
      </c>
      <c r="T131" s="3">
        <v>1669966.6557105393</v>
      </c>
      <c r="U131" s="3">
        <v>2378386.457342363</v>
      </c>
      <c r="V131" s="3">
        <v>726803.99474999995</v>
      </c>
      <c r="W131" s="3">
        <v>0</v>
      </c>
      <c r="X131" s="3">
        <v>13607385.092358343</v>
      </c>
      <c r="Y131" s="3">
        <v>0</v>
      </c>
      <c r="Z131" s="3">
        <v>877301.9282704714</v>
      </c>
      <c r="AA131" s="3">
        <v>-877301.9282704714</v>
      </c>
      <c r="AB131" s="3">
        <v>86250</v>
      </c>
      <c r="AC131" s="3">
        <v>0</v>
      </c>
      <c r="AD131" s="3">
        <v>86250</v>
      </c>
      <c r="AE131" s="3">
        <v>12816333.164087869</v>
      </c>
      <c r="AF131" s="3">
        <v>0</v>
      </c>
      <c r="AG131" s="3">
        <v>12816333.164087869</v>
      </c>
      <c r="AH131" s="3">
        <v>12816333.164087869</v>
      </c>
      <c r="AI131" s="3">
        <v>57500000</v>
      </c>
      <c r="AJ131" s="3">
        <v>1875000</v>
      </c>
    </row>
    <row r="132" spans="1:36" x14ac:dyDescent="0.2">
      <c r="A132" s="3" t="s">
        <v>36</v>
      </c>
      <c r="B132" s="3" t="s">
        <v>65</v>
      </c>
      <c r="C132" s="3" t="s">
        <v>66</v>
      </c>
      <c r="D132" s="3">
        <v>2</v>
      </c>
      <c r="E132" s="3">
        <v>2022</v>
      </c>
      <c r="F132" s="3">
        <v>1</v>
      </c>
      <c r="G132" s="3" t="s">
        <v>39</v>
      </c>
      <c r="H132" s="3" t="s">
        <v>46</v>
      </c>
      <c r="I132" s="5">
        <v>189550114.176</v>
      </c>
      <c r="J132" s="3">
        <v>0</v>
      </c>
      <c r="K132" s="3">
        <v>189550114.176</v>
      </c>
      <c r="L132" s="3">
        <v>189275274</v>
      </c>
      <c r="M132" s="3">
        <v>274840.17599999998</v>
      </c>
      <c r="N132" s="3">
        <v>298905.22215644474</v>
      </c>
      <c r="O132" s="3">
        <f t="shared" si="2"/>
        <v>0.15769192408869084</v>
      </c>
      <c r="P132" s="3">
        <v>48920.4</v>
      </c>
      <c r="Q132" s="3">
        <v>51923.9304815</v>
      </c>
      <c r="R132" s="3">
        <v>91229.059740659315</v>
      </c>
      <c r="S132" s="3">
        <v>5085.96</v>
      </c>
      <c r="T132" s="3">
        <v>75568.608193463762</v>
      </c>
      <c r="U132" s="3">
        <v>20907.547452821596</v>
      </c>
      <c r="V132" s="3">
        <v>5269.7162879999996</v>
      </c>
      <c r="W132" s="3">
        <v>0</v>
      </c>
      <c r="X132" s="3">
        <v>-24065.046156444714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-24065.046156444714</v>
      </c>
      <c r="AF132" s="3">
        <v>0</v>
      </c>
      <c r="AG132" s="3">
        <v>-24065.046156444714</v>
      </c>
      <c r="AH132" s="3">
        <v>-24065.046156444714</v>
      </c>
      <c r="AI132" s="3">
        <v>156000000</v>
      </c>
      <c r="AJ132" s="3">
        <v>144000</v>
      </c>
    </row>
    <row r="133" spans="1:36" x14ac:dyDescent="0.2">
      <c r="A133" s="3" t="s">
        <v>36</v>
      </c>
      <c r="B133" s="3" t="s">
        <v>65</v>
      </c>
      <c r="C133" s="3" t="s">
        <v>66</v>
      </c>
      <c r="D133" s="3">
        <v>3</v>
      </c>
      <c r="E133" s="3">
        <v>2022</v>
      </c>
      <c r="F133" s="3">
        <v>1</v>
      </c>
      <c r="G133" s="3" t="s">
        <v>39</v>
      </c>
      <c r="H133" s="3" t="s">
        <v>46</v>
      </c>
      <c r="I133" s="5">
        <v>254913136.17599997</v>
      </c>
      <c r="J133" s="3">
        <v>0</v>
      </c>
      <c r="K133" s="3">
        <v>254913136.17599997</v>
      </c>
      <c r="L133" s="3">
        <v>254638326</v>
      </c>
      <c r="M133" s="3">
        <v>274810.17599999998</v>
      </c>
      <c r="N133" s="3">
        <v>368396.8308599391</v>
      </c>
      <c r="O133" s="3">
        <f t="shared" si="2"/>
        <v>0.14451857459616615</v>
      </c>
      <c r="P133" s="3">
        <v>48920.4</v>
      </c>
      <c r="Q133" s="3">
        <v>51923.9304815</v>
      </c>
      <c r="R133" s="3">
        <v>98943.41323516483</v>
      </c>
      <c r="S133" s="3">
        <v>15093</v>
      </c>
      <c r="T133" s="3">
        <v>121784.14704196763</v>
      </c>
      <c r="U133" s="3">
        <v>17979.64821330666</v>
      </c>
      <c r="V133" s="3">
        <v>13752.291888</v>
      </c>
      <c r="W133" s="3">
        <v>0</v>
      </c>
      <c r="X133" s="3">
        <v>-93586.654859939081</v>
      </c>
      <c r="Y133" s="3">
        <v>295572.54000000004</v>
      </c>
      <c r="Z133" s="3">
        <v>295572.54000000004</v>
      </c>
      <c r="AA133" s="3">
        <v>0</v>
      </c>
      <c r="AB133" s="3">
        <v>224460</v>
      </c>
      <c r="AC133" s="3">
        <v>224460</v>
      </c>
      <c r="AD133" s="3">
        <v>0</v>
      </c>
      <c r="AE133" s="3">
        <v>-93586.654859939081</v>
      </c>
      <c r="AF133" s="3">
        <v>0</v>
      </c>
      <c r="AG133" s="3">
        <v>-93586.654859939081</v>
      </c>
      <c r="AH133" s="3">
        <v>-93586.654859939081</v>
      </c>
      <c r="AI133" s="3">
        <v>300000000</v>
      </c>
      <c r="AJ133" s="3">
        <v>-120000</v>
      </c>
    </row>
    <row r="134" spans="1:36" x14ac:dyDescent="0.2">
      <c r="A134" s="3" t="s">
        <v>36</v>
      </c>
      <c r="B134" s="3" t="s">
        <v>65</v>
      </c>
      <c r="C134" s="3" t="s">
        <v>66</v>
      </c>
      <c r="D134" s="3">
        <v>1</v>
      </c>
      <c r="E134" s="3">
        <v>2022</v>
      </c>
      <c r="F134" s="3">
        <v>1</v>
      </c>
      <c r="G134" s="3" t="s">
        <v>39</v>
      </c>
      <c r="H134" s="3" t="s">
        <v>46</v>
      </c>
      <c r="I134" s="5">
        <v>522061890</v>
      </c>
      <c r="J134" s="3">
        <v>0</v>
      </c>
      <c r="K134" s="3">
        <v>522061890</v>
      </c>
      <c r="L134" s="3">
        <v>521505870</v>
      </c>
      <c r="M134" s="3">
        <v>556020</v>
      </c>
      <c r="N134" s="3">
        <v>773231.03281211853</v>
      </c>
      <c r="O134" s="3">
        <f t="shared" si="2"/>
        <v>0.14811098983151566</v>
      </c>
      <c r="P134" s="3">
        <v>122301</v>
      </c>
      <c r="Q134" s="3">
        <v>129809.82620375001</v>
      </c>
      <c r="R134" s="3">
        <v>211222.78839316242</v>
      </c>
      <c r="S134" s="3">
        <v>17291.22</v>
      </c>
      <c r="T134" s="3">
        <v>222552.09180823236</v>
      </c>
      <c r="U134" s="3">
        <v>28663.482606973634</v>
      </c>
      <c r="V134" s="3">
        <v>41390.623800000001</v>
      </c>
      <c r="W134" s="3">
        <v>0</v>
      </c>
      <c r="X134" s="3">
        <v>-217211.0328121185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-217211.0328121185</v>
      </c>
      <c r="AF134" s="3">
        <v>0</v>
      </c>
      <c r="AG134" s="3">
        <v>-217211.0328121185</v>
      </c>
      <c r="AH134" s="3">
        <v>-217211.0328121185</v>
      </c>
      <c r="AI134" s="3">
        <v>510000000</v>
      </c>
      <c r="AJ134" s="3">
        <v>-600000</v>
      </c>
    </row>
    <row r="135" spans="1:36" x14ac:dyDescent="0.2">
      <c r="A135" s="3" t="s">
        <v>36</v>
      </c>
      <c r="B135" s="3" t="s">
        <v>65</v>
      </c>
      <c r="C135" s="3" t="s">
        <v>66</v>
      </c>
      <c r="D135" s="3">
        <v>2</v>
      </c>
      <c r="E135" s="3">
        <v>2022</v>
      </c>
      <c r="F135" s="3">
        <v>1</v>
      </c>
      <c r="G135" s="3" t="s">
        <v>39</v>
      </c>
      <c r="H135" s="3" t="s">
        <v>40</v>
      </c>
      <c r="I135" s="5">
        <v>1908720196.152</v>
      </c>
      <c r="J135" s="3">
        <v>0</v>
      </c>
      <c r="K135" s="3">
        <v>1908720196.152</v>
      </c>
      <c r="L135" s="3">
        <v>1906289455.8239999</v>
      </c>
      <c r="M135" s="3">
        <v>2430740.3279999997</v>
      </c>
      <c r="N135" s="3">
        <v>1349464.4920643161</v>
      </c>
      <c r="O135" s="3">
        <f t="shared" si="2"/>
        <v>7.0699964027459386E-2</v>
      </c>
      <c r="P135" s="3">
        <v>97840.8</v>
      </c>
      <c r="Q135" s="3">
        <v>103847.860963</v>
      </c>
      <c r="R135" s="3">
        <v>729832.47792527452</v>
      </c>
      <c r="S135" s="3">
        <v>40687.68</v>
      </c>
      <c r="T135" s="3">
        <v>150187.49967269227</v>
      </c>
      <c r="U135" s="3">
        <v>184910.44319934916</v>
      </c>
      <c r="V135" s="3">
        <v>42157.730303999997</v>
      </c>
      <c r="W135" s="3">
        <v>0</v>
      </c>
      <c r="X135" s="3">
        <v>1081275.8359356839</v>
      </c>
      <c r="Y135" s="3">
        <v>570675.36</v>
      </c>
      <c r="Z135" s="3">
        <v>570675.36</v>
      </c>
      <c r="AA135" s="3">
        <v>0</v>
      </c>
      <c r="AB135" s="3">
        <v>190200</v>
      </c>
      <c r="AC135" s="3">
        <v>190200</v>
      </c>
      <c r="AD135" s="3">
        <v>0</v>
      </c>
      <c r="AE135" s="3">
        <v>1081275.8359356839</v>
      </c>
      <c r="AF135" s="3">
        <v>0</v>
      </c>
      <c r="AG135" s="3">
        <v>1081275.8359356839</v>
      </c>
      <c r="AH135" s="3">
        <v>1081275.8359356839</v>
      </c>
      <c r="AI135" s="3">
        <v>1920000000</v>
      </c>
      <c r="AJ135" s="3">
        <v>0</v>
      </c>
    </row>
    <row r="136" spans="1:36" x14ac:dyDescent="0.2">
      <c r="A136" s="3" t="s">
        <v>36</v>
      </c>
      <c r="B136" s="3" t="s">
        <v>65</v>
      </c>
      <c r="C136" s="3" t="s">
        <v>66</v>
      </c>
      <c r="D136" s="3">
        <v>1</v>
      </c>
      <c r="E136" s="3">
        <v>2022</v>
      </c>
      <c r="F136" s="3">
        <v>1</v>
      </c>
      <c r="G136" s="3" t="s">
        <v>39</v>
      </c>
      <c r="H136" s="3" t="s">
        <v>40</v>
      </c>
      <c r="I136" s="5">
        <v>1984431750.395</v>
      </c>
      <c r="J136" s="3">
        <v>0</v>
      </c>
      <c r="K136" s="3">
        <v>1984431750.395</v>
      </c>
      <c r="L136" s="3">
        <v>1982303265.395</v>
      </c>
      <c r="M136" s="3">
        <v>2128485</v>
      </c>
      <c r="N136" s="3">
        <v>1011642.307505175</v>
      </c>
      <c r="O136" s="3">
        <f t="shared" si="2"/>
        <v>5.0978941820690384E-2</v>
      </c>
      <c r="P136" s="3">
        <v>69303.900000000009</v>
      </c>
      <c r="Q136" s="3">
        <v>73558.901515458332</v>
      </c>
      <c r="R136" s="3">
        <v>478771.65369116818</v>
      </c>
      <c r="S136" s="3">
        <v>39193.432000000001</v>
      </c>
      <c r="T136" s="3">
        <v>146769.77686966106</v>
      </c>
      <c r="U136" s="3">
        <v>109725.89614888724</v>
      </c>
      <c r="V136" s="3">
        <v>93818.747280000011</v>
      </c>
      <c r="W136" s="3">
        <v>0</v>
      </c>
      <c r="X136" s="3">
        <v>1117342.6924948252</v>
      </c>
      <c r="Y136" s="3">
        <v>384765.59</v>
      </c>
      <c r="Z136" s="3">
        <v>384765.59</v>
      </c>
      <c r="AA136" s="3">
        <v>0</v>
      </c>
      <c r="AB136" s="3">
        <v>491300</v>
      </c>
      <c r="AC136" s="3">
        <v>49130</v>
      </c>
      <c r="AD136" s="3">
        <v>442170</v>
      </c>
      <c r="AE136" s="3">
        <v>1559512.6924948252</v>
      </c>
      <c r="AF136" s="3">
        <v>0</v>
      </c>
      <c r="AG136" s="3">
        <v>1559512.6924948252</v>
      </c>
      <c r="AH136" s="3">
        <v>1559512.6924948252</v>
      </c>
      <c r="AI136" s="3">
        <v>1700000000</v>
      </c>
      <c r="AJ136" s="3">
        <v>1105000</v>
      </c>
    </row>
    <row r="137" spans="1:36" x14ac:dyDescent="0.2">
      <c r="A137" s="3" t="s">
        <v>36</v>
      </c>
      <c r="B137" s="3" t="s">
        <v>65</v>
      </c>
      <c r="C137" s="3" t="s">
        <v>66</v>
      </c>
      <c r="D137" s="3">
        <v>3</v>
      </c>
      <c r="E137" s="3">
        <v>2022</v>
      </c>
      <c r="F137" s="3">
        <v>1</v>
      </c>
      <c r="G137" s="3" t="s">
        <v>39</v>
      </c>
      <c r="H137" s="3" t="s">
        <v>40</v>
      </c>
      <c r="I137" s="5">
        <v>2863740108.48</v>
      </c>
      <c r="J137" s="3">
        <v>0</v>
      </c>
      <c r="K137" s="3">
        <v>2863740108.48</v>
      </c>
      <c r="L137" s="3">
        <v>2861529854.5200005</v>
      </c>
      <c r="M137" s="3">
        <v>2210253.96</v>
      </c>
      <c r="N137" s="3">
        <v>1138518.9119606116</v>
      </c>
      <c r="O137" s="3">
        <f t="shared" si="2"/>
        <v>3.9756362967060872E-2</v>
      </c>
      <c r="P137" s="3">
        <v>81534</v>
      </c>
      <c r="Q137" s="3">
        <v>86539.884135833345</v>
      </c>
      <c r="R137" s="3">
        <v>659622.75490109879</v>
      </c>
      <c r="S137" s="3">
        <v>37900</v>
      </c>
      <c r="T137" s="3">
        <v>36632.913838353386</v>
      </c>
      <c r="U137" s="3">
        <v>144607.41316532608</v>
      </c>
      <c r="V137" s="3">
        <v>91681.945919999998</v>
      </c>
      <c r="W137" s="3">
        <v>0</v>
      </c>
      <c r="X137" s="3">
        <v>1071735.0480393884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1071735.0480393884</v>
      </c>
      <c r="AF137" s="3">
        <v>0</v>
      </c>
      <c r="AG137" s="3">
        <v>1071735.0480393884</v>
      </c>
      <c r="AH137" s="3">
        <v>1071735.0480393884</v>
      </c>
      <c r="AI137" s="3">
        <v>2400000000</v>
      </c>
      <c r="AJ137" s="3">
        <v>1100000</v>
      </c>
    </row>
    <row r="138" spans="1:36" x14ac:dyDescent="0.2">
      <c r="A138" s="3" t="s">
        <v>36</v>
      </c>
      <c r="B138" s="3" t="s">
        <v>65</v>
      </c>
      <c r="C138" s="3" t="s">
        <v>67</v>
      </c>
      <c r="D138" s="3">
        <v>1</v>
      </c>
      <c r="E138" s="3">
        <v>2022</v>
      </c>
      <c r="F138" s="3">
        <v>1</v>
      </c>
      <c r="G138" s="3" t="s">
        <v>42</v>
      </c>
      <c r="H138" s="3" t="s">
        <v>40</v>
      </c>
      <c r="I138" s="5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 t="e">
        <f t="shared" si="2"/>
        <v>#DIV/0!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</row>
    <row r="139" spans="1:36" x14ac:dyDescent="0.2">
      <c r="A139" s="3" t="s">
        <v>36</v>
      </c>
      <c r="B139" s="3" t="s">
        <v>65</v>
      </c>
      <c r="C139" s="3" t="s">
        <v>67</v>
      </c>
      <c r="D139" s="3">
        <v>1</v>
      </c>
      <c r="E139" s="3">
        <v>2022</v>
      </c>
      <c r="F139" s="3">
        <v>1</v>
      </c>
      <c r="G139" s="3" t="s">
        <v>48</v>
      </c>
      <c r="H139" s="3" t="s">
        <v>46</v>
      </c>
      <c r="I139" s="5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 t="e">
        <f t="shared" si="2"/>
        <v>#DIV/0!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</row>
    <row r="140" spans="1:36" x14ac:dyDescent="0.2">
      <c r="A140" s="3" t="s">
        <v>36</v>
      </c>
      <c r="B140" s="3" t="s">
        <v>65</v>
      </c>
      <c r="C140" s="3" t="s">
        <v>67</v>
      </c>
      <c r="D140" s="3">
        <v>1</v>
      </c>
      <c r="E140" s="3">
        <v>2022</v>
      </c>
      <c r="F140" s="3">
        <v>1</v>
      </c>
      <c r="G140" s="3" t="s">
        <v>39</v>
      </c>
      <c r="H140" s="3" t="s">
        <v>40</v>
      </c>
      <c r="I140" s="5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 t="e">
        <f t="shared" si="2"/>
        <v>#DIV/0!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</row>
    <row r="141" spans="1:36" x14ac:dyDescent="0.2">
      <c r="A141" s="3" t="s">
        <v>36</v>
      </c>
      <c r="B141" s="3" t="s">
        <v>65</v>
      </c>
      <c r="C141" s="3" t="s">
        <v>67</v>
      </c>
      <c r="D141" s="3">
        <v>2</v>
      </c>
      <c r="E141" s="3">
        <v>2022</v>
      </c>
      <c r="F141" s="3">
        <v>1</v>
      </c>
      <c r="G141" s="3" t="s">
        <v>42</v>
      </c>
      <c r="H141" s="3" t="s">
        <v>40</v>
      </c>
      <c r="I141" s="5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 t="e">
        <f t="shared" si="2"/>
        <v>#DIV/0!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</row>
    <row r="142" spans="1:36" x14ac:dyDescent="0.2">
      <c r="A142" s="3" t="s">
        <v>36</v>
      </c>
      <c r="B142" s="3" t="s">
        <v>65</v>
      </c>
      <c r="C142" s="3" t="s">
        <v>67</v>
      </c>
      <c r="D142" s="3">
        <v>2</v>
      </c>
      <c r="E142" s="3">
        <v>2022</v>
      </c>
      <c r="F142" s="3">
        <v>1</v>
      </c>
      <c r="G142" s="3" t="s">
        <v>48</v>
      </c>
      <c r="H142" s="3" t="s">
        <v>46</v>
      </c>
      <c r="I142" s="5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 t="e">
        <f t="shared" si="2"/>
        <v>#DIV/0!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</row>
    <row r="143" spans="1:36" x14ac:dyDescent="0.2">
      <c r="A143" s="3" t="s">
        <v>36</v>
      </c>
      <c r="B143" s="3" t="s">
        <v>65</v>
      </c>
      <c r="C143" s="3" t="s">
        <v>67</v>
      </c>
      <c r="D143" s="3">
        <v>2</v>
      </c>
      <c r="E143" s="3">
        <v>2022</v>
      </c>
      <c r="F143" s="3">
        <v>1</v>
      </c>
      <c r="G143" s="3" t="s">
        <v>39</v>
      </c>
      <c r="H143" s="3" t="s">
        <v>40</v>
      </c>
      <c r="I143" s="5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 t="e">
        <f t="shared" si="2"/>
        <v>#DIV/0!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</row>
    <row r="144" spans="1:36" x14ac:dyDescent="0.2">
      <c r="A144" s="3" t="s">
        <v>36</v>
      </c>
      <c r="B144" s="3" t="s">
        <v>65</v>
      </c>
      <c r="C144" s="3" t="s">
        <v>67</v>
      </c>
      <c r="D144" s="3">
        <v>3</v>
      </c>
      <c r="E144" s="3">
        <v>2022</v>
      </c>
      <c r="F144" s="3">
        <v>1</v>
      </c>
      <c r="G144" s="3" t="s">
        <v>42</v>
      </c>
      <c r="H144" s="3" t="s">
        <v>40</v>
      </c>
      <c r="I144" s="5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 t="e">
        <f t="shared" ref="O144:O207" si="3">N144/K144*100</f>
        <v>#DIV/0!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</row>
    <row r="145" spans="1:36" x14ac:dyDescent="0.2">
      <c r="A145" s="3" t="s">
        <v>36</v>
      </c>
      <c r="B145" s="3" t="s">
        <v>65</v>
      </c>
      <c r="C145" s="3" t="s">
        <v>67</v>
      </c>
      <c r="D145" s="3">
        <v>3</v>
      </c>
      <c r="E145" s="3">
        <v>2022</v>
      </c>
      <c r="F145" s="3">
        <v>1</v>
      </c>
      <c r="G145" s="3" t="s">
        <v>48</v>
      </c>
      <c r="H145" s="3" t="s">
        <v>46</v>
      </c>
      <c r="I145" s="5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 t="e">
        <f t="shared" si="3"/>
        <v>#DIV/0!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</row>
    <row r="146" spans="1:36" x14ac:dyDescent="0.2">
      <c r="A146" s="3" t="s">
        <v>36</v>
      </c>
      <c r="B146" s="3" t="s">
        <v>65</v>
      </c>
      <c r="C146" s="3" t="s">
        <v>67</v>
      </c>
      <c r="D146" s="3">
        <v>3</v>
      </c>
      <c r="E146" s="3">
        <v>2022</v>
      </c>
      <c r="F146" s="3">
        <v>1</v>
      </c>
      <c r="G146" s="3" t="s">
        <v>39</v>
      </c>
      <c r="H146" s="3" t="s">
        <v>40</v>
      </c>
      <c r="I146" s="5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 t="e">
        <f t="shared" si="3"/>
        <v>#DIV/0!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</row>
    <row r="147" spans="1:36" x14ac:dyDescent="0.2">
      <c r="A147" s="3" t="s">
        <v>36</v>
      </c>
      <c r="B147" s="3" t="s">
        <v>65</v>
      </c>
      <c r="C147" s="3" t="s">
        <v>67</v>
      </c>
      <c r="D147" s="3">
        <v>3</v>
      </c>
      <c r="E147" s="3">
        <v>2022</v>
      </c>
      <c r="F147" s="3">
        <v>1</v>
      </c>
      <c r="G147" s="3" t="s">
        <v>42</v>
      </c>
      <c r="H147" s="3" t="s">
        <v>46</v>
      </c>
      <c r="I147" s="5">
        <v>4680</v>
      </c>
      <c r="J147" s="3">
        <v>0</v>
      </c>
      <c r="K147" s="3">
        <v>4680</v>
      </c>
      <c r="L147" s="3">
        <v>2808</v>
      </c>
      <c r="M147" s="3">
        <v>1872</v>
      </c>
      <c r="N147" s="3">
        <v>175241.65585714288</v>
      </c>
      <c r="O147" s="3">
        <f t="shared" si="3"/>
        <v>3744.4798260073262</v>
      </c>
      <c r="P147" s="3">
        <v>19500</v>
      </c>
      <c r="Q147" s="3">
        <v>25744.215119999993</v>
      </c>
      <c r="R147" s="3">
        <v>117994.97285714286</v>
      </c>
      <c r="S147" s="3">
        <v>1586</v>
      </c>
      <c r="T147" s="3">
        <v>0</v>
      </c>
      <c r="U147" s="3">
        <v>187.2</v>
      </c>
      <c r="V147" s="3">
        <v>10229.267880000001</v>
      </c>
      <c r="W147" s="3">
        <v>0</v>
      </c>
      <c r="X147" s="3">
        <v>-173369.65585714291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-173369.65585714291</v>
      </c>
      <c r="AF147" s="3">
        <v>0</v>
      </c>
      <c r="AG147" s="3">
        <v>-173369.65585714291</v>
      </c>
      <c r="AH147" s="3">
        <v>-173369.65585714291</v>
      </c>
      <c r="AI147" s="3">
        <v>156000</v>
      </c>
      <c r="AJ147" s="3">
        <v>0</v>
      </c>
    </row>
    <row r="148" spans="1:36" x14ac:dyDescent="0.2">
      <c r="A148" s="3" t="s">
        <v>36</v>
      </c>
      <c r="B148" s="3" t="s">
        <v>65</v>
      </c>
      <c r="C148" s="3" t="s">
        <v>67</v>
      </c>
      <c r="D148" s="3">
        <v>1</v>
      </c>
      <c r="E148" s="3">
        <v>2022</v>
      </c>
      <c r="F148" s="3">
        <v>1</v>
      </c>
      <c r="G148" s="3" t="s">
        <v>42</v>
      </c>
      <c r="H148" s="3" t="s">
        <v>46</v>
      </c>
      <c r="I148" s="5">
        <v>557228</v>
      </c>
      <c r="J148" s="3">
        <v>76551.999999999985</v>
      </c>
      <c r="K148" s="3">
        <v>480676</v>
      </c>
      <c r="L148" s="3">
        <v>222891.19999999998</v>
      </c>
      <c r="M148" s="3">
        <v>257784.8</v>
      </c>
      <c r="N148" s="3">
        <v>285202.97695972351</v>
      </c>
      <c r="O148" s="3">
        <f t="shared" si="3"/>
        <v>59.333725203613973</v>
      </c>
      <c r="P148" s="3">
        <v>21000</v>
      </c>
      <c r="Q148" s="3">
        <v>27724.539359999995</v>
      </c>
      <c r="R148" s="3">
        <v>117809.32153846155</v>
      </c>
      <c r="S148" s="3">
        <v>33373.200000000004</v>
      </c>
      <c r="T148" s="3">
        <v>0</v>
      </c>
      <c r="U148" s="3">
        <v>16048.483261261968</v>
      </c>
      <c r="V148" s="3">
        <v>69247.43280000001</v>
      </c>
      <c r="W148" s="3">
        <v>0</v>
      </c>
      <c r="X148" s="3">
        <v>-27418.176959723532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-27418.176959723532</v>
      </c>
      <c r="AF148" s="3">
        <v>0</v>
      </c>
      <c r="AG148" s="3">
        <v>-27418.176959723532</v>
      </c>
      <c r="AH148" s="3">
        <v>-27418.176959723532</v>
      </c>
      <c r="AI148" s="3">
        <v>557200</v>
      </c>
      <c r="AJ148" s="3">
        <v>0</v>
      </c>
    </row>
    <row r="149" spans="1:36" x14ac:dyDescent="0.2">
      <c r="A149" s="3" t="s">
        <v>36</v>
      </c>
      <c r="B149" s="3" t="s">
        <v>65</v>
      </c>
      <c r="C149" s="3" t="s">
        <v>67</v>
      </c>
      <c r="D149" s="3">
        <v>2</v>
      </c>
      <c r="E149" s="3">
        <v>2022</v>
      </c>
      <c r="F149" s="3">
        <v>1</v>
      </c>
      <c r="G149" s="3" t="s">
        <v>42</v>
      </c>
      <c r="H149" s="3" t="s">
        <v>46</v>
      </c>
      <c r="I149" s="5">
        <v>621186</v>
      </c>
      <c r="J149" s="3">
        <v>0</v>
      </c>
      <c r="K149" s="3">
        <v>621186</v>
      </c>
      <c r="L149" s="3">
        <v>372711.60000000003</v>
      </c>
      <c r="M149" s="3">
        <v>248474.4</v>
      </c>
      <c r="N149" s="3">
        <v>169745.31048925218</v>
      </c>
      <c r="O149" s="3">
        <f t="shared" si="3"/>
        <v>27.326003884384413</v>
      </c>
      <c r="P149" s="3">
        <v>14250</v>
      </c>
      <c r="Q149" s="3">
        <v>18813.080279999998</v>
      </c>
      <c r="R149" s="3">
        <v>61523.007678571419</v>
      </c>
      <c r="S149" s="3">
        <v>31065</v>
      </c>
      <c r="T149" s="3">
        <v>0</v>
      </c>
      <c r="U149" s="3">
        <v>24301.778510680775</v>
      </c>
      <c r="V149" s="3">
        <v>19792.444019999999</v>
      </c>
      <c r="W149" s="3">
        <v>0</v>
      </c>
      <c r="X149" s="3">
        <v>78729.089510747814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78729.089510747814</v>
      </c>
      <c r="AF149" s="3">
        <v>0</v>
      </c>
      <c r="AG149" s="3">
        <v>78729.089510747814</v>
      </c>
      <c r="AH149" s="3">
        <v>78729.089510747814</v>
      </c>
      <c r="AI149" s="3">
        <v>608000</v>
      </c>
      <c r="AJ149" s="3">
        <v>0</v>
      </c>
    </row>
    <row r="150" spans="1:36" x14ac:dyDescent="0.2">
      <c r="A150" s="3" t="s">
        <v>36</v>
      </c>
      <c r="B150" s="3" t="s">
        <v>65</v>
      </c>
      <c r="C150" s="3" t="s">
        <v>67</v>
      </c>
      <c r="D150" s="3">
        <v>1</v>
      </c>
      <c r="E150" s="3">
        <v>2022</v>
      </c>
      <c r="F150" s="3">
        <v>1</v>
      </c>
      <c r="G150" s="3" t="s">
        <v>48</v>
      </c>
      <c r="H150" s="3" t="s">
        <v>46</v>
      </c>
      <c r="I150" s="5">
        <v>5050825</v>
      </c>
      <c r="J150" s="3">
        <v>211979.94999999998</v>
      </c>
      <c r="K150" s="3">
        <v>4838845.05</v>
      </c>
      <c r="L150" s="3">
        <v>3500109.6</v>
      </c>
      <c r="M150" s="3">
        <v>1338735.4500000002</v>
      </c>
      <c r="N150" s="3">
        <v>1182917.7912393184</v>
      </c>
      <c r="O150" s="3">
        <f t="shared" si="3"/>
        <v>24.446283751932054</v>
      </c>
      <c r="P150" s="3">
        <v>144300</v>
      </c>
      <c r="Q150" s="3">
        <v>175917.04702000003</v>
      </c>
      <c r="R150" s="3">
        <v>385640.16299999994</v>
      </c>
      <c r="S150" s="3">
        <v>83209.36</v>
      </c>
      <c r="T150" s="3">
        <v>45500</v>
      </c>
      <c r="U150" s="3">
        <v>104134.60311931837</v>
      </c>
      <c r="V150" s="3">
        <v>244216.61810000005</v>
      </c>
      <c r="W150" s="3">
        <v>0</v>
      </c>
      <c r="X150" s="3">
        <v>155817.65876068166</v>
      </c>
      <c r="Y150" s="3">
        <v>0</v>
      </c>
      <c r="Z150" s="3">
        <v>44162.011076077586</v>
      </c>
      <c r="AA150" s="3">
        <v>-44162.011076077586</v>
      </c>
      <c r="AB150" s="3">
        <v>650</v>
      </c>
      <c r="AC150" s="3">
        <v>0</v>
      </c>
      <c r="AD150" s="3">
        <v>650</v>
      </c>
      <c r="AE150" s="3">
        <v>112305.64768460408</v>
      </c>
      <c r="AF150" s="3">
        <v>0</v>
      </c>
      <c r="AG150" s="3">
        <v>112305.64768460408</v>
      </c>
      <c r="AH150" s="3">
        <v>112305.64768460408</v>
      </c>
      <c r="AI150" s="3">
        <v>4550000</v>
      </c>
      <c r="AJ150" s="3">
        <v>156000</v>
      </c>
    </row>
    <row r="151" spans="1:36" x14ac:dyDescent="0.2">
      <c r="A151" s="3" t="s">
        <v>36</v>
      </c>
      <c r="B151" s="3" t="s">
        <v>65</v>
      </c>
      <c r="C151" s="3" t="s">
        <v>67</v>
      </c>
      <c r="D151" s="3">
        <v>2</v>
      </c>
      <c r="E151" s="3">
        <v>2022</v>
      </c>
      <c r="F151" s="3">
        <v>1</v>
      </c>
      <c r="G151" s="3" t="s">
        <v>48</v>
      </c>
      <c r="H151" s="3" t="s">
        <v>46</v>
      </c>
      <c r="I151" s="5">
        <v>7657183</v>
      </c>
      <c r="J151" s="3">
        <v>119002</v>
      </c>
      <c r="K151" s="3">
        <v>7538181</v>
      </c>
      <c r="L151" s="3">
        <v>5114761.574</v>
      </c>
      <c r="M151" s="3">
        <v>2423419.426</v>
      </c>
      <c r="N151" s="3">
        <v>1763700.3702133603</v>
      </c>
      <c r="O151" s="3">
        <f t="shared" si="3"/>
        <v>23.396896017930057</v>
      </c>
      <c r="P151" s="3">
        <v>255299.99999999997</v>
      </c>
      <c r="Q151" s="3">
        <v>292262.85242000001</v>
      </c>
      <c r="R151" s="3">
        <v>564069.62210714282</v>
      </c>
      <c r="S151" s="3">
        <v>40571.999999999993</v>
      </c>
      <c r="T151" s="3">
        <v>71184.999999999985</v>
      </c>
      <c r="U151" s="3">
        <v>213306.26565621729</v>
      </c>
      <c r="V151" s="3">
        <v>327004.63002999994</v>
      </c>
      <c r="W151" s="3">
        <v>0</v>
      </c>
      <c r="X151" s="3">
        <v>659719.0557866398</v>
      </c>
      <c r="Y151" s="3">
        <v>0</v>
      </c>
      <c r="Z151" s="3">
        <v>126471.08071838548</v>
      </c>
      <c r="AA151" s="3">
        <v>-126471.08071838548</v>
      </c>
      <c r="AB151" s="3">
        <v>4139.9999999999991</v>
      </c>
      <c r="AC151" s="3">
        <v>0</v>
      </c>
      <c r="AD151" s="3">
        <v>4139.9999999999991</v>
      </c>
      <c r="AE151" s="3">
        <v>537387.97506825428</v>
      </c>
      <c r="AF151" s="3">
        <v>0</v>
      </c>
      <c r="AG151" s="3">
        <v>537387.97506825428</v>
      </c>
      <c r="AH151" s="3">
        <v>537387.97506825428</v>
      </c>
      <c r="AI151" s="3">
        <v>6900000</v>
      </c>
      <c r="AJ151" s="3">
        <v>230000</v>
      </c>
    </row>
    <row r="152" spans="1:36" x14ac:dyDescent="0.2">
      <c r="A152" s="3" t="s">
        <v>36</v>
      </c>
      <c r="B152" s="3" t="s">
        <v>65</v>
      </c>
      <c r="C152" s="3" t="s">
        <v>67</v>
      </c>
      <c r="D152" s="3">
        <v>3</v>
      </c>
      <c r="E152" s="3">
        <v>2022</v>
      </c>
      <c r="F152" s="3">
        <v>1</v>
      </c>
      <c r="G152" s="3" t="s">
        <v>48</v>
      </c>
      <c r="H152" s="3" t="s">
        <v>46</v>
      </c>
      <c r="I152" s="5">
        <v>8328143.4979999997</v>
      </c>
      <c r="J152" s="3">
        <v>317171.21799999999</v>
      </c>
      <c r="K152" s="3">
        <v>8010972.2800000003</v>
      </c>
      <c r="L152" s="3">
        <v>5649842.5460000001</v>
      </c>
      <c r="M152" s="3">
        <v>2361129.7339999997</v>
      </c>
      <c r="N152" s="3">
        <v>1517299.0076093643</v>
      </c>
      <c r="O152" s="3">
        <f t="shared" si="3"/>
        <v>18.940260365117183</v>
      </c>
      <c r="P152" s="3">
        <v>210900</v>
      </c>
      <c r="Q152" s="3">
        <v>241434.53026</v>
      </c>
      <c r="R152" s="3">
        <v>605828.48143956042</v>
      </c>
      <c r="S152" s="3">
        <v>46219.399999999994</v>
      </c>
      <c r="T152" s="3">
        <v>105535.5</v>
      </c>
      <c r="U152" s="3">
        <v>204547.420419804</v>
      </c>
      <c r="V152" s="3">
        <v>102833.67548999999</v>
      </c>
      <c r="W152" s="3">
        <v>0</v>
      </c>
      <c r="X152" s="3">
        <v>843830.72639063559</v>
      </c>
      <c r="Y152" s="3">
        <v>0</v>
      </c>
      <c r="Z152" s="3">
        <v>51278.113557738121</v>
      </c>
      <c r="AA152" s="3">
        <v>-51278.113557738121</v>
      </c>
      <c r="AB152" s="3">
        <v>0</v>
      </c>
      <c r="AC152" s="3">
        <v>0</v>
      </c>
      <c r="AD152" s="3">
        <v>0</v>
      </c>
      <c r="AE152" s="3">
        <v>792552.61283289746</v>
      </c>
      <c r="AF152" s="3">
        <v>0</v>
      </c>
      <c r="AG152" s="3">
        <v>792552.61283289746</v>
      </c>
      <c r="AH152" s="3">
        <v>792552.61283289746</v>
      </c>
      <c r="AI152" s="3">
        <v>12920000</v>
      </c>
      <c r="AJ152" s="3">
        <v>418000</v>
      </c>
    </row>
    <row r="153" spans="1:36" x14ac:dyDescent="0.2">
      <c r="A153" s="3" t="s">
        <v>36</v>
      </c>
      <c r="B153" s="3" t="s">
        <v>65</v>
      </c>
      <c r="C153" s="3" t="s">
        <v>67</v>
      </c>
      <c r="D153" s="3">
        <v>3</v>
      </c>
      <c r="E153" s="3">
        <v>2022</v>
      </c>
      <c r="F153" s="3">
        <v>1</v>
      </c>
      <c r="G153" s="3" t="s">
        <v>39</v>
      </c>
      <c r="H153" s="3" t="s">
        <v>46</v>
      </c>
      <c r="I153" s="5">
        <v>14798580</v>
      </c>
      <c r="J153" s="3">
        <v>0</v>
      </c>
      <c r="K153" s="3">
        <v>14798580</v>
      </c>
      <c r="L153" s="3">
        <v>14782560</v>
      </c>
      <c r="M153" s="3">
        <v>16020</v>
      </c>
      <c r="N153" s="3">
        <v>258535.03993852445</v>
      </c>
      <c r="O153" s="3">
        <f t="shared" si="3"/>
        <v>1.7470259980249758</v>
      </c>
      <c r="P153" s="3">
        <v>22500</v>
      </c>
      <c r="Q153" s="3">
        <v>29704.863599999993</v>
      </c>
      <c r="R153" s="3">
        <v>190149.05521978019</v>
      </c>
      <c r="S153" s="3">
        <v>3330</v>
      </c>
      <c r="T153" s="3">
        <v>0</v>
      </c>
      <c r="U153" s="3">
        <v>1048.119718744231</v>
      </c>
      <c r="V153" s="3">
        <v>11803.001400000001</v>
      </c>
      <c r="W153" s="3">
        <v>0</v>
      </c>
      <c r="X153" s="3">
        <v>-242515.03993852445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-242515.03993852445</v>
      </c>
      <c r="AF153" s="3">
        <v>0</v>
      </c>
      <c r="AG153" s="3">
        <v>-242515.03993852445</v>
      </c>
      <c r="AH153" s="3">
        <v>-242515.03993852445</v>
      </c>
      <c r="AI153" s="3">
        <v>60000000</v>
      </c>
      <c r="AJ153" s="3">
        <v>0</v>
      </c>
    </row>
    <row r="154" spans="1:36" x14ac:dyDescent="0.2">
      <c r="A154" s="3" t="s">
        <v>36</v>
      </c>
      <c r="B154" s="3" t="s">
        <v>65</v>
      </c>
      <c r="C154" s="3" t="s">
        <v>67</v>
      </c>
      <c r="D154" s="3">
        <v>1</v>
      </c>
      <c r="E154" s="3">
        <v>2022</v>
      </c>
      <c r="F154" s="3">
        <v>1</v>
      </c>
      <c r="G154" s="3" t="s">
        <v>39</v>
      </c>
      <c r="H154" s="3" t="s">
        <v>46</v>
      </c>
      <c r="I154" s="5">
        <v>15397344</v>
      </c>
      <c r="J154" s="3">
        <v>0</v>
      </c>
      <c r="K154" s="3">
        <v>15397344</v>
      </c>
      <c r="L154" s="3">
        <v>15382746</v>
      </c>
      <c r="M154" s="3">
        <v>14598</v>
      </c>
      <c r="N154" s="3">
        <v>188280.73089066049</v>
      </c>
      <c r="O154" s="3">
        <f t="shared" si="3"/>
        <v>1.222813044189053</v>
      </c>
      <c r="P154" s="3">
        <v>13500</v>
      </c>
      <c r="Q154" s="3">
        <v>17822.918160000001</v>
      </c>
      <c r="R154" s="3">
        <v>105678.86192307693</v>
      </c>
      <c r="S154" s="3">
        <v>6010.2</v>
      </c>
      <c r="T154" s="3">
        <v>0</v>
      </c>
      <c r="U154" s="3">
        <v>752.54400758354154</v>
      </c>
      <c r="V154" s="3">
        <v>44516.206800000007</v>
      </c>
      <c r="W154" s="3">
        <v>0</v>
      </c>
      <c r="X154" s="3">
        <v>-173682.73089066046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-173682.73089066046</v>
      </c>
      <c r="AF154" s="3">
        <v>0</v>
      </c>
      <c r="AG154" s="3">
        <v>-173682.73089066046</v>
      </c>
      <c r="AH154" s="3">
        <v>-173682.73089066046</v>
      </c>
      <c r="AI154" s="3">
        <v>15300000</v>
      </c>
      <c r="AJ154" s="3">
        <v>0</v>
      </c>
    </row>
    <row r="155" spans="1:36" x14ac:dyDescent="0.2">
      <c r="A155" s="3" t="s">
        <v>36</v>
      </c>
      <c r="B155" s="3" t="s">
        <v>65</v>
      </c>
      <c r="C155" s="3" t="s">
        <v>67</v>
      </c>
      <c r="D155" s="3">
        <v>2</v>
      </c>
      <c r="E155" s="3">
        <v>2022</v>
      </c>
      <c r="F155" s="3">
        <v>1</v>
      </c>
      <c r="G155" s="3" t="s">
        <v>39</v>
      </c>
      <c r="H155" s="3" t="s">
        <v>46</v>
      </c>
      <c r="I155" s="5">
        <v>26608660</v>
      </c>
      <c r="J155" s="3">
        <v>0</v>
      </c>
      <c r="K155" s="3">
        <v>26608660</v>
      </c>
      <c r="L155" s="3">
        <v>26579709</v>
      </c>
      <c r="M155" s="3">
        <v>28951</v>
      </c>
      <c r="N155" s="3">
        <v>95980.705465748193</v>
      </c>
      <c r="O155" s="3">
        <f t="shared" si="3"/>
        <v>0.36071228489427198</v>
      </c>
      <c r="P155" s="3">
        <v>9750</v>
      </c>
      <c r="Q155" s="3">
        <v>12872.107559999997</v>
      </c>
      <c r="R155" s="3">
        <v>57614.048839285708</v>
      </c>
      <c r="S155" s="3">
        <v>0</v>
      </c>
      <c r="T155" s="3">
        <v>0</v>
      </c>
      <c r="U155" s="3">
        <v>2202.3505264624696</v>
      </c>
      <c r="V155" s="3">
        <v>13542.198539999999</v>
      </c>
      <c r="W155" s="3">
        <v>0</v>
      </c>
      <c r="X155" s="3">
        <v>-67029.705465748193</v>
      </c>
      <c r="Y155" s="3">
        <v>0</v>
      </c>
      <c r="Z155" s="3">
        <v>0</v>
      </c>
      <c r="AA155" s="3">
        <v>0</v>
      </c>
      <c r="AB155" s="3">
        <v>1300</v>
      </c>
      <c r="AC155" s="3">
        <v>1300</v>
      </c>
      <c r="AD155" s="3">
        <v>0</v>
      </c>
      <c r="AE155" s="3">
        <v>-67029.705465748193</v>
      </c>
      <c r="AF155" s="3">
        <v>0</v>
      </c>
      <c r="AG155" s="3">
        <v>-67029.705465748193</v>
      </c>
      <c r="AH155" s="3">
        <v>-67029.705465748193</v>
      </c>
      <c r="AI155" s="3">
        <v>26000000</v>
      </c>
      <c r="AJ155" s="3">
        <v>0</v>
      </c>
    </row>
    <row r="156" spans="1:36" x14ac:dyDescent="0.2">
      <c r="A156" s="3" t="s">
        <v>68</v>
      </c>
      <c r="B156" s="3" t="s">
        <v>69</v>
      </c>
      <c r="C156" s="3" t="s">
        <v>70</v>
      </c>
      <c r="D156" s="3">
        <v>1</v>
      </c>
      <c r="E156" s="3">
        <v>2022</v>
      </c>
      <c r="F156" s="3">
        <v>1</v>
      </c>
      <c r="G156" s="3" t="s">
        <v>42</v>
      </c>
      <c r="H156" s="3" t="s">
        <v>40</v>
      </c>
      <c r="I156" s="5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 t="e">
        <f t="shared" si="3"/>
        <v>#DIV/0!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</row>
    <row r="157" spans="1:36" x14ac:dyDescent="0.2">
      <c r="A157" s="3" t="s">
        <v>68</v>
      </c>
      <c r="B157" s="3" t="s">
        <v>69</v>
      </c>
      <c r="C157" s="3" t="s">
        <v>70</v>
      </c>
      <c r="D157" s="3">
        <v>1</v>
      </c>
      <c r="E157" s="3">
        <v>2022</v>
      </c>
      <c r="F157" s="3">
        <v>1</v>
      </c>
      <c r="G157" s="3" t="s">
        <v>48</v>
      </c>
      <c r="H157" s="3" t="s">
        <v>46</v>
      </c>
      <c r="I157" s="5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 t="e">
        <f t="shared" si="3"/>
        <v>#DIV/0!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</row>
    <row r="158" spans="1:36" x14ac:dyDescent="0.2">
      <c r="A158" s="3" t="s">
        <v>68</v>
      </c>
      <c r="B158" s="3" t="s">
        <v>69</v>
      </c>
      <c r="C158" s="3" t="s">
        <v>70</v>
      </c>
      <c r="D158" s="3">
        <v>1</v>
      </c>
      <c r="E158" s="3">
        <v>2022</v>
      </c>
      <c r="F158" s="3">
        <v>1</v>
      </c>
      <c r="G158" s="3" t="s">
        <v>39</v>
      </c>
      <c r="H158" s="3" t="s">
        <v>40</v>
      </c>
      <c r="I158" s="5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 t="e">
        <f t="shared" si="3"/>
        <v>#DIV/0!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</row>
    <row r="159" spans="1:36" x14ac:dyDescent="0.2">
      <c r="A159" s="3" t="s">
        <v>68</v>
      </c>
      <c r="B159" s="3" t="s">
        <v>69</v>
      </c>
      <c r="C159" s="3" t="s">
        <v>70</v>
      </c>
      <c r="D159" s="3">
        <v>2</v>
      </c>
      <c r="E159" s="3">
        <v>2022</v>
      </c>
      <c r="F159" s="3">
        <v>1</v>
      </c>
      <c r="G159" s="3" t="s">
        <v>42</v>
      </c>
      <c r="H159" s="3" t="s">
        <v>40</v>
      </c>
      <c r="I159" s="5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 t="e">
        <f t="shared" si="3"/>
        <v>#DIV/0!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</row>
    <row r="160" spans="1:36" x14ac:dyDescent="0.2">
      <c r="A160" s="3" t="s">
        <v>68</v>
      </c>
      <c r="B160" s="3" t="s">
        <v>69</v>
      </c>
      <c r="C160" s="3" t="s">
        <v>70</v>
      </c>
      <c r="D160" s="3">
        <v>2</v>
      </c>
      <c r="E160" s="3">
        <v>2022</v>
      </c>
      <c r="F160" s="3">
        <v>1</v>
      </c>
      <c r="G160" s="3" t="s">
        <v>48</v>
      </c>
      <c r="H160" s="3" t="s">
        <v>46</v>
      </c>
      <c r="I160" s="5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 t="e">
        <f t="shared" si="3"/>
        <v>#DIV/0!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</row>
    <row r="161" spans="1:36" x14ac:dyDescent="0.2">
      <c r="A161" s="3" t="s">
        <v>68</v>
      </c>
      <c r="B161" s="3" t="s">
        <v>69</v>
      </c>
      <c r="C161" s="3" t="s">
        <v>70</v>
      </c>
      <c r="D161" s="3">
        <v>2</v>
      </c>
      <c r="E161" s="3">
        <v>2022</v>
      </c>
      <c r="F161" s="3">
        <v>1</v>
      </c>
      <c r="G161" s="3" t="s">
        <v>39</v>
      </c>
      <c r="H161" s="3" t="s">
        <v>40</v>
      </c>
      <c r="I161" s="5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 t="e">
        <f t="shared" si="3"/>
        <v>#DIV/0!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</row>
    <row r="162" spans="1:36" x14ac:dyDescent="0.2">
      <c r="A162" s="3" t="s">
        <v>68</v>
      </c>
      <c r="B162" s="3" t="s">
        <v>69</v>
      </c>
      <c r="C162" s="3" t="s">
        <v>70</v>
      </c>
      <c r="D162" s="3">
        <v>3</v>
      </c>
      <c r="E162" s="3">
        <v>2022</v>
      </c>
      <c r="F162" s="3">
        <v>1</v>
      </c>
      <c r="G162" s="3" t="s">
        <v>42</v>
      </c>
      <c r="H162" s="3" t="s">
        <v>46</v>
      </c>
      <c r="I162" s="5">
        <v>0</v>
      </c>
      <c r="J162" s="3">
        <v>0</v>
      </c>
      <c r="K162" s="3">
        <v>0</v>
      </c>
      <c r="L162" s="3">
        <v>0</v>
      </c>
      <c r="M162" s="3">
        <v>0</v>
      </c>
      <c r="N162" s="3">
        <v>76631.37919800001</v>
      </c>
      <c r="O162" s="3" t="e">
        <f t="shared" si="3"/>
        <v>#DIV/0!</v>
      </c>
      <c r="P162" s="3">
        <v>19110</v>
      </c>
      <c r="Q162" s="3">
        <v>6378.0834129999994</v>
      </c>
      <c r="R162" s="3">
        <v>37026.908499999998</v>
      </c>
      <c r="S162" s="3">
        <v>2558.8062500000005</v>
      </c>
      <c r="T162" s="3">
        <v>136.5</v>
      </c>
      <c r="U162" s="3">
        <v>0</v>
      </c>
      <c r="V162" s="3">
        <v>11421.081034999999</v>
      </c>
      <c r="W162" s="3">
        <v>0</v>
      </c>
      <c r="X162" s="3">
        <v>-76631.37919800001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-76631.37919800001</v>
      </c>
      <c r="AF162" s="3">
        <v>0</v>
      </c>
      <c r="AG162" s="3">
        <v>-76631.37919800001</v>
      </c>
      <c r="AH162" s="3">
        <v>-76631.37919800001</v>
      </c>
      <c r="AI162" s="3">
        <v>455000</v>
      </c>
      <c r="AJ162" s="3">
        <v>103133.33333333334</v>
      </c>
    </row>
    <row r="163" spans="1:36" x14ac:dyDescent="0.2">
      <c r="A163" s="3" t="s">
        <v>68</v>
      </c>
      <c r="B163" s="3" t="s">
        <v>69</v>
      </c>
      <c r="C163" s="3" t="s">
        <v>70</v>
      </c>
      <c r="D163" s="3">
        <v>3</v>
      </c>
      <c r="E163" s="3">
        <v>2022</v>
      </c>
      <c r="F163" s="3">
        <v>1</v>
      </c>
      <c r="G163" s="3" t="s">
        <v>42</v>
      </c>
      <c r="H163" s="3" t="s">
        <v>40</v>
      </c>
      <c r="I163" s="5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 t="e">
        <f t="shared" si="3"/>
        <v>#DIV/0!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</row>
    <row r="164" spans="1:36" x14ac:dyDescent="0.2">
      <c r="A164" s="3" t="s">
        <v>68</v>
      </c>
      <c r="B164" s="3" t="s">
        <v>69</v>
      </c>
      <c r="C164" s="3" t="s">
        <v>70</v>
      </c>
      <c r="D164" s="3">
        <v>3</v>
      </c>
      <c r="E164" s="3">
        <v>2022</v>
      </c>
      <c r="F164" s="3">
        <v>1</v>
      </c>
      <c r="G164" s="3" t="s">
        <v>48</v>
      </c>
      <c r="H164" s="3" t="s">
        <v>46</v>
      </c>
      <c r="I164" s="5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 t="e">
        <f t="shared" si="3"/>
        <v>#DIV/0!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</row>
    <row r="165" spans="1:36" x14ac:dyDescent="0.2">
      <c r="A165" s="3" t="s">
        <v>68</v>
      </c>
      <c r="B165" s="3" t="s">
        <v>69</v>
      </c>
      <c r="C165" s="3" t="s">
        <v>70</v>
      </c>
      <c r="D165" s="3">
        <v>3</v>
      </c>
      <c r="E165" s="3">
        <v>2022</v>
      </c>
      <c r="F165" s="3">
        <v>1</v>
      </c>
      <c r="G165" s="3" t="s">
        <v>39</v>
      </c>
      <c r="H165" s="3" t="s">
        <v>40</v>
      </c>
      <c r="I165" s="5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 t="e">
        <f t="shared" si="3"/>
        <v>#DIV/0!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</row>
    <row r="166" spans="1:36" x14ac:dyDescent="0.2">
      <c r="A166" s="3" t="s">
        <v>68</v>
      </c>
      <c r="B166" s="3" t="s">
        <v>69</v>
      </c>
      <c r="C166" s="3" t="s">
        <v>70</v>
      </c>
      <c r="D166" s="3">
        <v>1</v>
      </c>
      <c r="E166" s="3">
        <v>2022</v>
      </c>
      <c r="F166" s="3">
        <v>1</v>
      </c>
      <c r="G166" s="3" t="s">
        <v>42</v>
      </c>
      <c r="H166" s="3" t="s">
        <v>46</v>
      </c>
      <c r="I166" s="5">
        <v>133840</v>
      </c>
      <c r="J166" s="3">
        <v>9876</v>
      </c>
      <c r="K166" s="3">
        <v>123964</v>
      </c>
      <c r="L166" s="3">
        <v>81104</v>
      </c>
      <c r="M166" s="3">
        <v>42860</v>
      </c>
      <c r="N166" s="3">
        <v>80301.661643198342</v>
      </c>
      <c r="O166" s="3">
        <f t="shared" si="3"/>
        <v>64.77821112839078</v>
      </c>
      <c r="P166" s="3">
        <v>14700</v>
      </c>
      <c r="Q166" s="3">
        <v>5189.1359599999996</v>
      </c>
      <c r="R166" s="3">
        <v>41076.575683198331</v>
      </c>
      <c r="S166" s="3">
        <v>8166.5124999999998</v>
      </c>
      <c r="T166" s="3">
        <v>0</v>
      </c>
      <c r="U166" s="3">
        <v>4286</v>
      </c>
      <c r="V166" s="3">
        <v>6883.4375</v>
      </c>
      <c r="W166" s="3">
        <v>0</v>
      </c>
      <c r="X166" s="3">
        <v>-37441.661643198335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-37441.661643198335</v>
      </c>
      <c r="AF166" s="3">
        <v>0</v>
      </c>
      <c r="AG166" s="3">
        <v>-37441.661643198335</v>
      </c>
      <c r="AH166" s="3">
        <v>-37441.661643198335</v>
      </c>
      <c r="AI166" s="3">
        <v>300000</v>
      </c>
      <c r="AJ166" s="3">
        <v>68000</v>
      </c>
    </row>
    <row r="167" spans="1:36" x14ac:dyDescent="0.2">
      <c r="A167" s="3" t="s">
        <v>68</v>
      </c>
      <c r="B167" s="3" t="s">
        <v>69</v>
      </c>
      <c r="C167" s="3" t="s">
        <v>70</v>
      </c>
      <c r="D167" s="3">
        <v>2</v>
      </c>
      <c r="E167" s="3">
        <v>2022</v>
      </c>
      <c r="F167" s="3">
        <v>1</v>
      </c>
      <c r="G167" s="3" t="s">
        <v>42</v>
      </c>
      <c r="H167" s="3" t="s">
        <v>46</v>
      </c>
      <c r="I167" s="5">
        <v>612038</v>
      </c>
      <c r="J167" s="3">
        <v>2630.6</v>
      </c>
      <c r="K167" s="3">
        <v>609407.39999999991</v>
      </c>
      <c r="L167" s="3">
        <v>371702.8</v>
      </c>
      <c r="M167" s="3">
        <v>237704.59999999998</v>
      </c>
      <c r="N167" s="3">
        <v>131814.15055226922</v>
      </c>
      <c r="O167" s="3">
        <f t="shared" si="3"/>
        <v>21.629890046013429</v>
      </c>
      <c r="P167" s="3">
        <v>20579.999999999996</v>
      </c>
      <c r="Q167" s="3">
        <v>6868.7052139999996</v>
      </c>
      <c r="R167" s="3">
        <v>37454.558918269227</v>
      </c>
      <c r="S167" s="3">
        <v>33226.0075</v>
      </c>
      <c r="T167" s="3">
        <v>0</v>
      </c>
      <c r="U167" s="3">
        <v>23770.46</v>
      </c>
      <c r="V167" s="3">
        <v>9914.4189200000001</v>
      </c>
      <c r="W167" s="3">
        <v>0</v>
      </c>
      <c r="X167" s="3">
        <v>105890.44944773076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105890.44944773076</v>
      </c>
      <c r="AF167" s="3">
        <v>0</v>
      </c>
      <c r="AG167" s="3">
        <v>105890.44944773076</v>
      </c>
      <c r="AH167" s="3">
        <v>105890.44944773076</v>
      </c>
      <c r="AI167" s="3">
        <v>629999.99999999988</v>
      </c>
      <c r="AJ167" s="3">
        <v>142800</v>
      </c>
    </row>
    <row r="168" spans="1:36" x14ac:dyDescent="0.2">
      <c r="A168" s="3" t="s">
        <v>68</v>
      </c>
      <c r="B168" s="3" t="s">
        <v>69</v>
      </c>
      <c r="C168" s="3" t="s">
        <v>70</v>
      </c>
      <c r="D168" s="3">
        <v>2</v>
      </c>
      <c r="E168" s="3">
        <v>2022</v>
      </c>
      <c r="F168" s="3">
        <v>1</v>
      </c>
      <c r="G168" s="3" t="s">
        <v>48</v>
      </c>
      <c r="H168" s="3" t="s">
        <v>46</v>
      </c>
      <c r="I168" s="5">
        <v>11197593</v>
      </c>
      <c r="J168" s="3">
        <v>41591</v>
      </c>
      <c r="K168" s="3">
        <v>11156002</v>
      </c>
      <c r="L168" s="3">
        <v>7472022.8019999992</v>
      </c>
      <c r="M168" s="3">
        <v>3683979.1980000003</v>
      </c>
      <c r="N168" s="3">
        <v>2132755.5599211603</v>
      </c>
      <c r="O168" s="3">
        <f t="shared" si="3"/>
        <v>19.117561649067117</v>
      </c>
      <c r="P168" s="3">
        <v>229025.99999999994</v>
      </c>
      <c r="Q168" s="3">
        <v>192139.823852</v>
      </c>
      <c r="R168" s="3">
        <v>771981.59114182682</v>
      </c>
      <c r="S168" s="3">
        <v>121581.82808333333</v>
      </c>
      <c r="T168" s="3">
        <v>158702.72196</v>
      </c>
      <c r="U168" s="3">
        <v>368397.91979999992</v>
      </c>
      <c r="V168" s="3">
        <v>290925.67508399999</v>
      </c>
      <c r="W168" s="3">
        <v>0</v>
      </c>
      <c r="X168" s="3">
        <v>1551223.63807884</v>
      </c>
      <c r="Y168" s="3">
        <v>0</v>
      </c>
      <c r="Z168" s="3">
        <v>234955.1286</v>
      </c>
      <c r="AA168" s="3">
        <v>-234955.1286</v>
      </c>
      <c r="AB168" s="3">
        <v>0</v>
      </c>
      <c r="AC168" s="3">
        <v>0</v>
      </c>
      <c r="AD168" s="3">
        <v>0</v>
      </c>
      <c r="AE168" s="3">
        <v>1316268.5094788396</v>
      </c>
      <c r="AF168" s="3">
        <v>0</v>
      </c>
      <c r="AG168" s="3">
        <v>1316268.5094788396</v>
      </c>
      <c r="AH168" s="3">
        <v>1316268.5094788396</v>
      </c>
      <c r="AI168" s="3">
        <v>11115000</v>
      </c>
      <c r="AJ168" s="3">
        <v>1185810.8105303571</v>
      </c>
    </row>
    <row r="169" spans="1:36" x14ac:dyDescent="0.2">
      <c r="A169" s="3" t="s">
        <v>68</v>
      </c>
      <c r="B169" s="3" t="s">
        <v>69</v>
      </c>
      <c r="C169" s="3" t="s">
        <v>70</v>
      </c>
      <c r="D169" s="3">
        <v>1</v>
      </c>
      <c r="E169" s="3">
        <v>2022</v>
      </c>
      <c r="F169" s="3">
        <v>1</v>
      </c>
      <c r="G169" s="3" t="s">
        <v>48</v>
      </c>
      <c r="H169" s="3" t="s">
        <v>46</v>
      </c>
      <c r="I169" s="5">
        <v>12788265</v>
      </c>
      <c r="J169" s="3">
        <v>81521.58</v>
      </c>
      <c r="K169" s="3">
        <v>12706743.42</v>
      </c>
      <c r="L169" s="3">
        <v>9025149.3570000008</v>
      </c>
      <c r="M169" s="3">
        <v>3681594.0630000001</v>
      </c>
      <c r="N169" s="3">
        <v>2596871.5601920001</v>
      </c>
      <c r="O169" s="3">
        <f t="shared" si="3"/>
        <v>20.436955987516118</v>
      </c>
      <c r="P169" s="3">
        <v>253133.99999999997</v>
      </c>
      <c r="Q169" s="3">
        <v>90526.167206999991</v>
      </c>
      <c r="R169" s="3">
        <v>1000679.9381249999</v>
      </c>
      <c r="S169" s="3">
        <v>139853.35525000002</v>
      </c>
      <c r="T169" s="3">
        <v>573573.82236000011</v>
      </c>
      <c r="U169" s="3">
        <v>368159.40630000003</v>
      </c>
      <c r="V169" s="3">
        <v>170944.87095000004</v>
      </c>
      <c r="W169" s="3">
        <v>0</v>
      </c>
      <c r="X169" s="3">
        <v>1084722.5028080002</v>
      </c>
      <c r="Y169" s="3">
        <v>0</v>
      </c>
      <c r="Z169" s="3">
        <v>205561.5282</v>
      </c>
      <c r="AA169" s="3">
        <v>-205561.5282</v>
      </c>
      <c r="AB169" s="3">
        <v>0</v>
      </c>
      <c r="AC169" s="3">
        <v>0</v>
      </c>
      <c r="AD169" s="3">
        <v>0</v>
      </c>
      <c r="AE169" s="3">
        <v>879160.97460800025</v>
      </c>
      <c r="AF169" s="3">
        <v>0</v>
      </c>
      <c r="AG169" s="3">
        <v>879160.97460800025</v>
      </c>
      <c r="AH169" s="3">
        <v>879160.97460800025</v>
      </c>
      <c r="AI169" s="3">
        <v>11130000</v>
      </c>
      <c r="AJ169" s="3">
        <v>1187411.0950250002</v>
      </c>
    </row>
    <row r="170" spans="1:36" x14ac:dyDescent="0.2">
      <c r="A170" s="3" t="s">
        <v>68</v>
      </c>
      <c r="B170" s="3" t="s">
        <v>69</v>
      </c>
      <c r="C170" s="3" t="s">
        <v>70</v>
      </c>
      <c r="D170" s="3">
        <v>3</v>
      </c>
      <c r="E170" s="3">
        <v>2022</v>
      </c>
      <c r="F170" s="3">
        <v>1</v>
      </c>
      <c r="G170" s="3" t="s">
        <v>48</v>
      </c>
      <c r="H170" s="3" t="s">
        <v>46</v>
      </c>
      <c r="I170" s="5">
        <v>20483532</v>
      </c>
      <c r="J170" s="3">
        <v>1024541.46</v>
      </c>
      <c r="K170" s="3">
        <v>19458990.539999999</v>
      </c>
      <c r="L170" s="3">
        <v>13498052.831999999</v>
      </c>
      <c r="M170" s="3">
        <v>5960937.7080000006</v>
      </c>
      <c r="N170" s="3">
        <v>2369316.3394629229</v>
      </c>
      <c r="O170" s="3">
        <f t="shared" si="3"/>
        <v>12.17594681796337</v>
      </c>
      <c r="P170" s="3">
        <v>216971.99999999997</v>
      </c>
      <c r="Q170" s="3">
        <v>73417.98866399999</v>
      </c>
      <c r="R170" s="3">
        <v>812281.94307692302</v>
      </c>
      <c r="S170" s="3">
        <v>217905.18450000003</v>
      </c>
      <c r="T170" s="3">
        <v>242476.60608000003</v>
      </c>
      <c r="U170" s="3">
        <v>596093.77080000006</v>
      </c>
      <c r="V170" s="3">
        <v>210168.846342</v>
      </c>
      <c r="W170" s="3">
        <v>0</v>
      </c>
      <c r="X170" s="3">
        <v>3591621.3685370772</v>
      </c>
      <c r="Y170" s="3">
        <v>0</v>
      </c>
      <c r="Z170" s="3">
        <v>247018.48020000002</v>
      </c>
      <c r="AA170" s="3">
        <v>-247018.48020000002</v>
      </c>
      <c r="AB170" s="3">
        <v>0</v>
      </c>
      <c r="AC170" s="3">
        <v>0</v>
      </c>
      <c r="AD170" s="3">
        <v>0</v>
      </c>
      <c r="AE170" s="3">
        <v>3344602.8883370766</v>
      </c>
      <c r="AF170" s="3">
        <v>0</v>
      </c>
      <c r="AG170" s="3">
        <v>3344602.8883370766</v>
      </c>
      <c r="AH170" s="3">
        <v>3344602.8883370766</v>
      </c>
      <c r="AI170" s="3">
        <v>13500000</v>
      </c>
      <c r="AJ170" s="3">
        <v>1440256.0451785717</v>
      </c>
    </row>
    <row r="171" spans="1:36" x14ac:dyDescent="0.2">
      <c r="A171" s="3" t="s">
        <v>68</v>
      </c>
      <c r="B171" s="3" t="s">
        <v>69</v>
      </c>
      <c r="C171" s="3" t="s">
        <v>70</v>
      </c>
      <c r="D171" s="3">
        <v>1</v>
      </c>
      <c r="E171" s="3">
        <v>2022</v>
      </c>
      <c r="F171" s="3">
        <v>1</v>
      </c>
      <c r="G171" s="3" t="s">
        <v>39</v>
      </c>
      <c r="H171" s="3" t="s">
        <v>46</v>
      </c>
      <c r="I171" s="5">
        <v>1443109270.54</v>
      </c>
      <c r="J171" s="3">
        <v>0</v>
      </c>
      <c r="K171" s="3">
        <v>1443109270.54</v>
      </c>
      <c r="L171" s="3">
        <v>1439577008.2959998</v>
      </c>
      <c r="M171" s="3">
        <v>3532262.2440002132</v>
      </c>
      <c r="N171" s="3">
        <v>1442866.0337094511</v>
      </c>
      <c r="O171" s="3">
        <f t="shared" si="3"/>
        <v>9.9983144947128094E-2</v>
      </c>
      <c r="P171" s="3">
        <v>74087.999999999985</v>
      </c>
      <c r="Q171" s="3">
        <v>26076.799643999992</v>
      </c>
      <c r="R171" s="3">
        <v>590164.29959742911</v>
      </c>
      <c r="S171" s="3">
        <v>42751.17</v>
      </c>
      <c r="T171" s="3">
        <v>246565.13745115785</v>
      </c>
      <c r="U171" s="3">
        <v>353226.22440002137</v>
      </c>
      <c r="V171" s="3">
        <v>109994.40261684309</v>
      </c>
      <c r="W171" s="3">
        <v>0</v>
      </c>
      <c r="X171" s="3">
        <v>2089396.2102907621</v>
      </c>
      <c r="Y171" s="3">
        <v>133087.9193331654</v>
      </c>
      <c r="Z171" s="3">
        <v>324041.2370126688</v>
      </c>
      <c r="AA171" s="3">
        <v>-190953.31767950338</v>
      </c>
      <c r="AB171" s="3">
        <v>355950</v>
      </c>
      <c r="AC171" s="3">
        <v>228550</v>
      </c>
      <c r="AD171" s="3">
        <v>127400</v>
      </c>
      <c r="AE171" s="3">
        <v>2025842.8926112587</v>
      </c>
      <c r="AF171" s="3">
        <v>0</v>
      </c>
      <c r="AG171" s="3">
        <v>2025842.8926112587</v>
      </c>
      <c r="AH171" s="3">
        <v>2025842.8926112587</v>
      </c>
      <c r="AI171" s="3">
        <v>1301999999.9999998</v>
      </c>
      <c r="AJ171" s="3">
        <v>1540000</v>
      </c>
    </row>
    <row r="172" spans="1:36" x14ac:dyDescent="0.2">
      <c r="A172" s="3" t="s">
        <v>68</v>
      </c>
      <c r="B172" s="3" t="s">
        <v>69</v>
      </c>
      <c r="C172" s="3" t="s">
        <v>70</v>
      </c>
      <c r="D172" s="3">
        <v>3</v>
      </c>
      <c r="E172" s="3">
        <v>2022</v>
      </c>
      <c r="F172" s="3">
        <v>1</v>
      </c>
      <c r="G172" s="3" t="s">
        <v>39</v>
      </c>
      <c r="H172" s="3" t="s">
        <v>46</v>
      </c>
      <c r="I172" s="5">
        <v>1725698905.2044032</v>
      </c>
      <c r="J172" s="3">
        <v>0</v>
      </c>
      <c r="K172" s="3">
        <v>1725698905.2044032</v>
      </c>
      <c r="L172" s="3">
        <v>1722534301.0240004</v>
      </c>
      <c r="M172" s="3">
        <v>3164604.1804028321</v>
      </c>
      <c r="N172" s="3">
        <v>1332007.4903608854</v>
      </c>
      <c r="O172" s="3">
        <f t="shared" si="3"/>
        <v>7.7186552436452616E-2</v>
      </c>
      <c r="P172" s="3">
        <v>84671.999999999985</v>
      </c>
      <c r="Q172" s="3">
        <v>28172.449343999997</v>
      </c>
      <c r="R172" s="3">
        <v>672450.89830625267</v>
      </c>
      <c r="S172" s="3">
        <v>48858.48000000001</v>
      </c>
      <c r="T172" s="3">
        <v>128335.18223834953</v>
      </c>
      <c r="U172" s="3">
        <v>316460.4180402832</v>
      </c>
      <c r="V172" s="3">
        <v>53058.062432000006</v>
      </c>
      <c r="W172" s="3">
        <v>0</v>
      </c>
      <c r="X172" s="3">
        <v>1832596.6900419467</v>
      </c>
      <c r="Y172" s="3">
        <v>187168.43392815223</v>
      </c>
      <c r="Z172" s="3">
        <v>431727.9253437061</v>
      </c>
      <c r="AA172" s="3">
        <v>-244559.49141555384</v>
      </c>
      <c r="AB172" s="3">
        <v>361200</v>
      </c>
      <c r="AC172" s="3">
        <v>244480</v>
      </c>
      <c r="AD172" s="3">
        <v>116720</v>
      </c>
      <c r="AE172" s="3">
        <v>1704757.1986263932</v>
      </c>
      <c r="AF172" s="3">
        <v>0</v>
      </c>
      <c r="AG172" s="3">
        <v>1704757.1986263932</v>
      </c>
      <c r="AH172" s="3">
        <v>1704757.1986263932</v>
      </c>
      <c r="AI172" s="3">
        <v>1432000000</v>
      </c>
      <c r="AJ172" s="3">
        <v>1600000</v>
      </c>
    </row>
    <row r="173" spans="1:36" x14ac:dyDescent="0.2">
      <c r="A173" s="3" t="s">
        <v>68</v>
      </c>
      <c r="B173" s="3" t="s">
        <v>69</v>
      </c>
      <c r="C173" s="3" t="s">
        <v>70</v>
      </c>
      <c r="D173" s="3">
        <v>2</v>
      </c>
      <c r="E173" s="3">
        <v>2022</v>
      </c>
      <c r="F173" s="3">
        <v>1</v>
      </c>
      <c r="G173" s="3" t="s">
        <v>39</v>
      </c>
      <c r="H173" s="3" t="s">
        <v>46</v>
      </c>
      <c r="I173" s="5">
        <v>1793018420.5400543</v>
      </c>
      <c r="J173" s="3">
        <v>0</v>
      </c>
      <c r="K173" s="3">
        <v>1793018420.5400543</v>
      </c>
      <c r="L173" s="3">
        <v>1787995227.7440002</v>
      </c>
      <c r="M173" s="3">
        <v>5023192.7960542301</v>
      </c>
      <c r="N173" s="3">
        <v>2035109.5247646743</v>
      </c>
      <c r="O173" s="3">
        <f t="shared" si="3"/>
        <v>0.1135018749083293</v>
      </c>
      <c r="P173" s="3">
        <v>116423.99999999997</v>
      </c>
      <c r="Q173" s="3">
        <v>38737.117847999994</v>
      </c>
      <c r="R173" s="3">
        <v>863379.6020478257</v>
      </c>
      <c r="S173" s="3">
        <v>67180.410000000018</v>
      </c>
      <c r="T173" s="3">
        <v>319219.37633559707</v>
      </c>
      <c r="U173" s="3">
        <v>502319.27960542298</v>
      </c>
      <c r="V173" s="3">
        <v>127849.73892782851</v>
      </c>
      <c r="W173" s="3">
        <v>0</v>
      </c>
      <c r="X173" s="3">
        <v>2988083.2712895558</v>
      </c>
      <c r="Y173" s="3">
        <v>210899.22435458124</v>
      </c>
      <c r="Z173" s="3">
        <v>440003.17216669151</v>
      </c>
      <c r="AA173" s="3">
        <v>-229103.94781211027</v>
      </c>
      <c r="AB173" s="3">
        <v>223740</v>
      </c>
      <c r="AC173" s="3">
        <v>93720</v>
      </c>
      <c r="AD173" s="3">
        <v>130020.00000000001</v>
      </c>
      <c r="AE173" s="3">
        <v>2888999.3234774452</v>
      </c>
      <c r="AF173" s="3">
        <v>0</v>
      </c>
      <c r="AG173" s="3">
        <v>2888999.3234774452</v>
      </c>
      <c r="AH173" s="3">
        <v>2888999.3234774452</v>
      </c>
      <c r="AI173" s="3">
        <v>1870000000</v>
      </c>
      <c r="AJ173" s="3">
        <v>2860000</v>
      </c>
    </row>
    <row r="174" spans="1:36" x14ac:dyDescent="0.2">
      <c r="A174" s="3" t="s">
        <v>68</v>
      </c>
      <c r="B174" s="3" t="s">
        <v>69</v>
      </c>
      <c r="C174" s="3" t="s">
        <v>71</v>
      </c>
      <c r="D174" s="3">
        <v>1</v>
      </c>
      <c r="E174" s="3">
        <v>2022</v>
      </c>
      <c r="F174" s="3">
        <v>1</v>
      </c>
      <c r="G174" s="3" t="s">
        <v>42</v>
      </c>
      <c r="H174" s="3" t="s">
        <v>40</v>
      </c>
      <c r="I174" s="5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 t="e">
        <f t="shared" si="3"/>
        <v>#DIV/0!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</row>
    <row r="175" spans="1:36" x14ac:dyDescent="0.2">
      <c r="A175" s="3" t="s">
        <v>68</v>
      </c>
      <c r="B175" s="3" t="s">
        <v>69</v>
      </c>
      <c r="C175" s="3" t="s">
        <v>71</v>
      </c>
      <c r="D175" s="3">
        <v>1</v>
      </c>
      <c r="E175" s="3">
        <v>2022</v>
      </c>
      <c r="F175" s="3">
        <v>1</v>
      </c>
      <c r="G175" s="3" t="s">
        <v>42</v>
      </c>
      <c r="H175" s="3" t="s">
        <v>46</v>
      </c>
      <c r="I175" s="5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 t="e">
        <f t="shared" si="3"/>
        <v>#DIV/0!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</row>
    <row r="176" spans="1:36" x14ac:dyDescent="0.2">
      <c r="A176" s="3" t="s">
        <v>68</v>
      </c>
      <c r="B176" s="3" t="s">
        <v>69</v>
      </c>
      <c r="C176" s="3" t="s">
        <v>71</v>
      </c>
      <c r="D176" s="3">
        <v>1</v>
      </c>
      <c r="E176" s="3">
        <v>2022</v>
      </c>
      <c r="F176" s="3">
        <v>1</v>
      </c>
      <c r="G176" s="3" t="s">
        <v>48</v>
      </c>
      <c r="H176" s="3" t="s">
        <v>46</v>
      </c>
      <c r="I176" s="5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 t="e">
        <f t="shared" si="3"/>
        <v>#DIV/0!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</row>
    <row r="177" spans="1:36" x14ac:dyDescent="0.2">
      <c r="A177" s="3" t="s">
        <v>68</v>
      </c>
      <c r="B177" s="3" t="s">
        <v>69</v>
      </c>
      <c r="C177" s="3" t="s">
        <v>71</v>
      </c>
      <c r="D177" s="3">
        <v>1</v>
      </c>
      <c r="E177" s="3">
        <v>2022</v>
      </c>
      <c r="F177" s="3">
        <v>1</v>
      </c>
      <c r="G177" s="3" t="s">
        <v>48</v>
      </c>
      <c r="H177" s="3" t="s">
        <v>46</v>
      </c>
      <c r="I177" s="5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 t="e">
        <f t="shared" si="3"/>
        <v>#DIV/0!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</row>
    <row r="178" spans="1:36" x14ac:dyDescent="0.2">
      <c r="A178" s="3" t="s">
        <v>68</v>
      </c>
      <c r="B178" s="3" t="s">
        <v>69</v>
      </c>
      <c r="C178" s="3" t="s">
        <v>71</v>
      </c>
      <c r="D178" s="3">
        <v>1</v>
      </c>
      <c r="E178" s="3">
        <v>2022</v>
      </c>
      <c r="F178" s="3">
        <v>1</v>
      </c>
      <c r="G178" s="3" t="s">
        <v>39</v>
      </c>
      <c r="H178" s="3" t="s">
        <v>40</v>
      </c>
      <c r="I178" s="5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 t="e">
        <f t="shared" si="3"/>
        <v>#DIV/0!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</row>
    <row r="179" spans="1:36" x14ac:dyDescent="0.2">
      <c r="A179" s="3" t="s">
        <v>68</v>
      </c>
      <c r="B179" s="3" t="s">
        <v>69</v>
      </c>
      <c r="C179" s="3" t="s">
        <v>71</v>
      </c>
      <c r="D179" s="3">
        <v>1</v>
      </c>
      <c r="E179" s="3">
        <v>2022</v>
      </c>
      <c r="F179" s="3">
        <v>1</v>
      </c>
      <c r="G179" s="3" t="s">
        <v>39</v>
      </c>
      <c r="H179" s="3" t="s">
        <v>46</v>
      </c>
      <c r="I179" s="5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 t="e">
        <f t="shared" si="3"/>
        <v>#DIV/0!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</row>
    <row r="180" spans="1:36" x14ac:dyDescent="0.2">
      <c r="A180" s="3" t="s">
        <v>68</v>
      </c>
      <c r="B180" s="3" t="s">
        <v>69</v>
      </c>
      <c r="C180" s="3" t="s">
        <v>71</v>
      </c>
      <c r="D180" s="3">
        <v>1</v>
      </c>
      <c r="E180" s="3">
        <v>2022</v>
      </c>
      <c r="F180" s="3">
        <v>1</v>
      </c>
      <c r="G180" s="3" t="s">
        <v>39</v>
      </c>
      <c r="H180" s="3" t="s">
        <v>40</v>
      </c>
      <c r="I180" s="5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 t="e">
        <f t="shared" si="3"/>
        <v>#DIV/0!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</row>
    <row r="181" spans="1:36" x14ac:dyDescent="0.2">
      <c r="A181" s="3" t="s">
        <v>68</v>
      </c>
      <c r="B181" s="3" t="s">
        <v>69</v>
      </c>
      <c r="C181" s="3" t="s">
        <v>71</v>
      </c>
      <c r="D181" s="3">
        <v>2</v>
      </c>
      <c r="E181" s="3">
        <v>2022</v>
      </c>
      <c r="F181" s="3">
        <v>1</v>
      </c>
      <c r="G181" s="3" t="s">
        <v>42</v>
      </c>
      <c r="H181" s="3" t="s">
        <v>40</v>
      </c>
      <c r="I181" s="5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 t="e">
        <f t="shared" si="3"/>
        <v>#DIV/0!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</row>
    <row r="182" spans="1:36" x14ac:dyDescent="0.2">
      <c r="A182" s="3" t="s">
        <v>68</v>
      </c>
      <c r="B182" s="3" t="s">
        <v>69</v>
      </c>
      <c r="C182" s="3" t="s">
        <v>71</v>
      </c>
      <c r="D182" s="3">
        <v>2</v>
      </c>
      <c r="E182" s="3">
        <v>2022</v>
      </c>
      <c r="F182" s="3">
        <v>1</v>
      </c>
      <c r="G182" s="3" t="s">
        <v>48</v>
      </c>
      <c r="H182" s="3" t="s">
        <v>46</v>
      </c>
      <c r="I182" s="5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 t="e">
        <f t="shared" si="3"/>
        <v>#DIV/0!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</row>
    <row r="183" spans="1:36" x14ac:dyDescent="0.2">
      <c r="A183" s="3" t="s">
        <v>68</v>
      </c>
      <c r="B183" s="3" t="s">
        <v>69</v>
      </c>
      <c r="C183" s="3" t="s">
        <v>71</v>
      </c>
      <c r="D183" s="3">
        <v>2</v>
      </c>
      <c r="E183" s="3">
        <v>2022</v>
      </c>
      <c r="F183" s="3">
        <v>1</v>
      </c>
      <c r="G183" s="3" t="s">
        <v>39</v>
      </c>
      <c r="H183" s="3" t="s">
        <v>40</v>
      </c>
      <c r="I183" s="5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 t="e">
        <f t="shared" si="3"/>
        <v>#DIV/0!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</row>
    <row r="184" spans="1:36" x14ac:dyDescent="0.2">
      <c r="A184" s="3" t="s">
        <v>68</v>
      </c>
      <c r="B184" s="3" t="s">
        <v>69</v>
      </c>
      <c r="C184" s="3" t="s">
        <v>71</v>
      </c>
      <c r="D184" s="3">
        <v>3</v>
      </c>
      <c r="E184" s="3">
        <v>2022</v>
      </c>
      <c r="F184" s="3">
        <v>1</v>
      </c>
      <c r="G184" s="3" t="s">
        <v>42</v>
      </c>
      <c r="H184" s="3" t="s">
        <v>40</v>
      </c>
      <c r="I184" s="5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 t="e">
        <f t="shared" si="3"/>
        <v>#DIV/0!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</row>
    <row r="185" spans="1:36" x14ac:dyDescent="0.2">
      <c r="A185" s="3" t="s">
        <v>68</v>
      </c>
      <c r="B185" s="3" t="s">
        <v>69</v>
      </c>
      <c r="C185" s="3" t="s">
        <v>71</v>
      </c>
      <c r="D185" s="3">
        <v>3</v>
      </c>
      <c r="E185" s="3">
        <v>2022</v>
      </c>
      <c r="F185" s="3">
        <v>1</v>
      </c>
      <c r="G185" s="3" t="s">
        <v>48</v>
      </c>
      <c r="H185" s="3" t="s">
        <v>46</v>
      </c>
      <c r="I185" s="5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 t="e">
        <f t="shared" si="3"/>
        <v>#DIV/0!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</row>
    <row r="186" spans="1:36" x14ac:dyDescent="0.2">
      <c r="A186" s="3" t="s">
        <v>68</v>
      </c>
      <c r="B186" s="3" t="s">
        <v>69</v>
      </c>
      <c r="C186" s="3" t="s">
        <v>71</v>
      </c>
      <c r="D186" s="3">
        <v>3</v>
      </c>
      <c r="E186" s="3">
        <v>2022</v>
      </c>
      <c r="F186" s="3">
        <v>1</v>
      </c>
      <c r="G186" s="3" t="s">
        <v>39</v>
      </c>
      <c r="H186" s="3" t="s">
        <v>40</v>
      </c>
      <c r="I186" s="5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 t="e">
        <f t="shared" si="3"/>
        <v>#DIV/0!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</row>
    <row r="187" spans="1:36" x14ac:dyDescent="0.2">
      <c r="A187" s="3" t="s">
        <v>68</v>
      </c>
      <c r="B187" s="3" t="s">
        <v>69</v>
      </c>
      <c r="C187" s="3" t="s">
        <v>71</v>
      </c>
      <c r="D187" s="3">
        <v>3</v>
      </c>
      <c r="E187" s="3">
        <v>2022</v>
      </c>
      <c r="F187" s="3">
        <v>1</v>
      </c>
      <c r="G187" s="3" t="s">
        <v>42</v>
      </c>
      <c r="H187" s="3" t="s">
        <v>46</v>
      </c>
      <c r="I187" s="5">
        <v>231725</v>
      </c>
      <c r="J187" s="3">
        <v>5247.5</v>
      </c>
      <c r="K187" s="3">
        <v>226477.5</v>
      </c>
      <c r="L187" s="3">
        <v>139035</v>
      </c>
      <c r="M187" s="3">
        <v>87442.5</v>
      </c>
      <c r="N187" s="3">
        <v>293829.95086153847</v>
      </c>
      <c r="O187" s="3">
        <f t="shared" si="3"/>
        <v>129.73913561459239</v>
      </c>
      <c r="P187" s="3">
        <v>91666.666500000007</v>
      </c>
      <c r="Q187" s="3">
        <v>27658.380774999998</v>
      </c>
      <c r="R187" s="3">
        <v>136563.80408653847</v>
      </c>
      <c r="S187" s="3">
        <v>21519.5</v>
      </c>
      <c r="T187" s="3">
        <v>100</v>
      </c>
      <c r="U187" s="3">
        <v>8744.25</v>
      </c>
      <c r="V187" s="3">
        <v>7577.3494999999994</v>
      </c>
      <c r="W187" s="3">
        <v>0</v>
      </c>
      <c r="X187" s="3">
        <v>-206387.4508615385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-206387.4508615385</v>
      </c>
      <c r="AF187" s="3">
        <v>0</v>
      </c>
      <c r="AG187" s="3">
        <v>-206387.4508615385</v>
      </c>
      <c r="AH187" s="3">
        <v>-206387.4508615385</v>
      </c>
      <c r="AI187" s="3">
        <v>750000</v>
      </c>
      <c r="AJ187" s="3">
        <v>170000</v>
      </c>
    </row>
    <row r="188" spans="1:36" x14ac:dyDescent="0.2">
      <c r="A188" s="3" t="s">
        <v>68</v>
      </c>
      <c r="B188" s="3" t="s">
        <v>69</v>
      </c>
      <c r="C188" s="3" t="s">
        <v>71</v>
      </c>
      <c r="D188" s="3">
        <v>1</v>
      </c>
      <c r="E188" s="3">
        <v>2022</v>
      </c>
      <c r="F188" s="3">
        <v>1</v>
      </c>
      <c r="G188" s="3" t="s">
        <v>42</v>
      </c>
      <c r="H188" s="3" t="s">
        <v>46</v>
      </c>
      <c r="I188" s="5">
        <v>432159</v>
      </c>
      <c r="J188" s="3">
        <v>45496.5</v>
      </c>
      <c r="K188" s="3">
        <v>386662.5</v>
      </c>
      <c r="L188" s="3">
        <v>262655.40000000002</v>
      </c>
      <c r="M188" s="3">
        <v>124007.09999999999</v>
      </c>
      <c r="N188" s="3">
        <v>279097.57824083802</v>
      </c>
      <c r="O188" s="3">
        <f t="shared" si="3"/>
        <v>72.18118598023807</v>
      </c>
      <c r="P188" s="3">
        <v>76999.999860000011</v>
      </c>
      <c r="Q188" s="3">
        <v>23233.039850999998</v>
      </c>
      <c r="R188" s="3">
        <v>130433.57706983805</v>
      </c>
      <c r="S188" s="3">
        <v>27897.449999999997</v>
      </c>
      <c r="T188" s="3">
        <v>0</v>
      </c>
      <c r="U188" s="3">
        <v>12400.71</v>
      </c>
      <c r="V188" s="3">
        <v>8132.8014600000006</v>
      </c>
      <c r="W188" s="3">
        <v>0</v>
      </c>
      <c r="X188" s="3">
        <v>-155090.47824083801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-155090.47824083801</v>
      </c>
      <c r="AF188" s="3">
        <v>0</v>
      </c>
      <c r="AG188" s="3">
        <v>-155090.47824083801</v>
      </c>
      <c r="AH188" s="3">
        <v>-155090.47824083801</v>
      </c>
      <c r="AI188" s="3">
        <v>630000</v>
      </c>
      <c r="AJ188" s="3">
        <v>142800</v>
      </c>
    </row>
    <row r="189" spans="1:36" x14ac:dyDescent="0.2">
      <c r="A189" s="3" t="s">
        <v>68</v>
      </c>
      <c r="B189" s="3" t="s">
        <v>69</v>
      </c>
      <c r="C189" s="3" t="s">
        <v>71</v>
      </c>
      <c r="D189" s="3">
        <v>2</v>
      </c>
      <c r="E189" s="3">
        <v>2022</v>
      </c>
      <c r="F189" s="3">
        <v>1</v>
      </c>
      <c r="G189" s="3" t="s">
        <v>42</v>
      </c>
      <c r="H189" s="3" t="s">
        <v>46</v>
      </c>
      <c r="I189" s="5">
        <v>931420</v>
      </c>
      <c r="J189" s="3">
        <v>6386.7999999999993</v>
      </c>
      <c r="K189" s="3">
        <v>925033.20000000007</v>
      </c>
      <c r="L189" s="3">
        <v>565572</v>
      </c>
      <c r="M189" s="3">
        <v>359461.2</v>
      </c>
      <c r="N189" s="3">
        <v>374265.47275569232</v>
      </c>
      <c r="O189" s="3">
        <f t="shared" si="3"/>
        <v>40.45968001534348</v>
      </c>
      <c r="P189" s="3">
        <v>102666.66648</v>
      </c>
      <c r="Q189" s="3">
        <v>30977.386468000001</v>
      </c>
      <c r="R189" s="3">
        <v>139281.6498076923</v>
      </c>
      <c r="S189" s="3">
        <v>57670.76</v>
      </c>
      <c r="T189" s="3">
        <v>0</v>
      </c>
      <c r="U189" s="3">
        <v>35946.120000000003</v>
      </c>
      <c r="V189" s="3">
        <v>7722.8899999999994</v>
      </c>
      <c r="W189" s="3">
        <v>0</v>
      </c>
      <c r="X189" s="3">
        <v>-14804.272755692309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-14804.272755692309</v>
      </c>
      <c r="AF189" s="3">
        <v>0</v>
      </c>
      <c r="AG189" s="3">
        <v>-14804.272755692309</v>
      </c>
      <c r="AH189" s="3">
        <v>-14804.272755692309</v>
      </c>
      <c r="AI189" s="3">
        <v>840000</v>
      </c>
      <c r="AJ189" s="3">
        <v>190400</v>
      </c>
    </row>
    <row r="190" spans="1:36" x14ac:dyDescent="0.2">
      <c r="A190" s="3" t="s">
        <v>68</v>
      </c>
      <c r="B190" s="3" t="s">
        <v>69</v>
      </c>
      <c r="C190" s="3" t="s">
        <v>71</v>
      </c>
      <c r="D190" s="3">
        <v>1</v>
      </c>
      <c r="E190" s="3">
        <v>2022</v>
      </c>
      <c r="F190" s="3">
        <v>1</v>
      </c>
      <c r="G190" s="3" t="s">
        <v>42</v>
      </c>
      <c r="H190" s="3" t="s">
        <v>46</v>
      </c>
      <c r="I190" s="5">
        <v>5230134</v>
      </c>
      <c r="J190" s="3">
        <v>784520.1</v>
      </c>
      <c r="K190" s="3">
        <v>4445613.9000000004</v>
      </c>
      <c r="L190" s="3">
        <v>3138080.4</v>
      </c>
      <c r="M190" s="3">
        <v>1307533.5</v>
      </c>
      <c r="N190" s="3">
        <v>130753.34999999999</v>
      </c>
      <c r="O190" s="3">
        <f t="shared" si="3"/>
        <v>2.9411764705882351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130753.34999999999</v>
      </c>
      <c r="V190" s="3">
        <v>0</v>
      </c>
      <c r="W190" s="3">
        <v>0</v>
      </c>
      <c r="X190" s="3">
        <v>1176780.1499999999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1176780.1499999999</v>
      </c>
      <c r="AF190" s="3">
        <v>0</v>
      </c>
      <c r="AG190" s="3">
        <v>1176780.1499999999</v>
      </c>
      <c r="AH190" s="3">
        <v>1176780.1499999999</v>
      </c>
      <c r="AI190" s="3">
        <v>0</v>
      </c>
      <c r="AJ190" s="3">
        <v>0</v>
      </c>
    </row>
    <row r="191" spans="1:36" x14ac:dyDescent="0.2">
      <c r="A191" s="3" t="s">
        <v>68</v>
      </c>
      <c r="B191" s="3" t="s">
        <v>69</v>
      </c>
      <c r="C191" s="3" t="s">
        <v>71</v>
      </c>
      <c r="D191" s="3">
        <v>3</v>
      </c>
      <c r="E191" s="3">
        <v>2022</v>
      </c>
      <c r="F191" s="3">
        <v>1</v>
      </c>
      <c r="G191" s="3" t="s">
        <v>48</v>
      </c>
      <c r="H191" s="3" t="s">
        <v>46</v>
      </c>
      <c r="I191" s="5">
        <v>38576580</v>
      </c>
      <c r="J191" s="3">
        <v>1573755.84</v>
      </c>
      <c r="K191" s="3">
        <v>37002824.160000004</v>
      </c>
      <c r="L191" s="3">
        <v>25660619.831999995</v>
      </c>
      <c r="M191" s="3">
        <v>11342204.328000002</v>
      </c>
      <c r="N191" s="3">
        <v>7701271.774220001</v>
      </c>
      <c r="O191" s="3">
        <f t="shared" si="3"/>
        <v>20.81265943626288</v>
      </c>
      <c r="P191" s="3">
        <v>1935999.9964799997</v>
      </c>
      <c r="Q191" s="3">
        <v>599695.1155800001</v>
      </c>
      <c r="R191" s="3">
        <v>1246714.92</v>
      </c>
      <c r="S191" s="3">
        <v>263299.08799999999</v>
      </c>
      <c r="T191" s="3">
        <v>2115788.86944</v>
      </c>
      <c r="U191" s="3">
        <v>1134220.4328000001</v>
      </c>
      <c r="V191" s="3">
        <v>405553.35191999993</v>
      </c>
      <c r="W191" s="3">
        <v>0</v>
      </c>
      <c r="X191" s="3">
        <v>3640932.5537799997</v>
      </c>
      <c r="Y191" s="3">
        <v>4136.7479999999996</v>
      </c>
      <c r="Z191" s="3">
        <v>812416.33487999998</v>
      </c>
      <c r="AA191" s="3">
        <v>-808279.58687999996</v>
      </c>
      <c r="AB191" s="3">
        <v>0</v>
      </c>
      <c r="AC191" s="3">
        <v>0</v>
      </c>
      <c r="AD191" s="3">
        <v>0</v>
      </c>
      <c r="AE191" s="3">
        <v>2832652.9668999994</v>
      </c>
      <c r="AF191" s="3">
        <v>0</v>
      </c>
      <c r="AG191" s="3">
        <v>2832652.9668999994</v>
      </c>
      <c r="AH191" s="3">
        <v>2832652.9668999994</v>
      </c>
      <c r="AI191" s="3">
        <v>59520000</v>
      </c>
      <c r="AJ191" s="3">
        <v>6349928.8764981506</v>
      </c>
    </row>
    <row r="192" spans="1:36" x14ac:dyDescent="0.2">
      <c r="A192" s="3" t="s">
        <v>68</v>
      </c>
      <c r="B192" s="3" t="s">
        <v>69</v>
      </c>
      <c r="C192" s="3" t="s">
        <v>71</v>
      </c>
      <c r="D192" s="3">
        <v>2</v>
      </c>
      <c r="E192" s="3">
        <v>2022</v>
      </c>
      <c r="F192" s="3">
        <v>1</v>
      </c>
      <c r="G192" s="3" t="s">
        <v>48</v>
      </c>
      <c r="H192" s="3" t="s">
        <v>46</v>
      </c>
      <c r="I192" s="5">
        <v>46422852</v>
      </c>
      <c r="J192" s="3">
        <v>2548821.36</v>
      </c>
      <c r="K192" s="3">
        <v>43874030.640000001</v>
      </c>
      <c r="L192" s="3">
        <v>31673115.407999996</v>
      </c>
      <c r="M192" s="3">
        <v>12200915.231999999</v>
      </c>
      <c r="N192" s="3">
        <v>6885655.663299121</v>
      </c>
      <c r="O192" s="3">
        <f t="shared" si="3"/>
        <v>15.694148823020287</v>
      </c>
      <c r="P192" s="3">
        <v>1935999.9964799997</v>
      </c>
      <c r="Q192" s="3">
        <v>1046199.6574200001</v>
      </c>
      <c r="R192" s="3">
        <v>1251339.5358791207</v>
      </c>
      <c r="S192" s="3">
        <v>193124.13199999998</v>
      </c>
      <c r="T192" s="3">
        <v>459744.93816000002</v>
      </c>
      <c r="U192" s="3">
        <v>1220091.5232000002</v>
      </c>
      <c r="V192" s="3">
        <v>779155.88016000006</v>
      </c>
      <c r="W192" s="3">
        <v>0</v>
      </c>
      <c r="X192" s="3">
        <v>5315259.5687008789</v>
      </c>
      <c r="Y192" s="3">
        <v>3642.672</v>
      </c>
      <c r="Z192" s="3">
        <v>732070.71647999994</v>
      </c>
      <c r="AA192" s="3">
        <v>-728428.04447999992</v>
      </c>
      <c r="AB192" s="3">
        <v>0</v>
      </c>
      <c r="AC192" s="3">
        <v>0</v>
      </c>
      <c r="AD192" s="3">
        <v>0</v>
      </c>
      <c r="AE192" s="3">
        <v>4586831.5242208792</v>
      </c>
      <c r="AF192" s="3">
        <v>0</v>
      </c>
      <c r="AG192" s="3">
        <v>4586831.5242208792</v>
      </c>
      <c r="AH192" s="3">
        <v>4586831.5242208792</v>
      </c>
      <c r="AI192" s="3">
        <v>47640000</v>
      </c>
      <c r="AJ192" s="3">
        <v>5082503.5563906571</v>
      </c>
    </row>
    <row r="193" spans="1:36" x14ac:dyDescent="0.2">
      <c r="A193" s="3" t="s">
        <v>68</v>
      </c>
      <c r="B193" s="3" t="s">
        <v>69</v>
      </c>
      <c r="C193" s="3" t="s">
        <v>71</v>
      </c>
      <c r="D193" s="3">
        <v>1</v>
      </c>
      <c r="E193" s="3">
        <v>2022</v>
      </c>
      <c r="F193" s="3">
        <v>1</v>
      </c>
      <c r="G193" s="3" t="s">
        <v>48</v>
      </c>
      <c r="H193" s="3" t="s">
        <v>46</v>
      </c>
      <c r="I193" s="5">
        <v>61051650</v>
      </c>
      <c r="J193" s="3">
        <v>3604432.1999999997</v>
      </c>
      <c r="K193" s="3">
        <v>57447217.800000004</v>
      </c>
      <c r="L193" s="3">
        <v>43256746.169999994</v>
      </c>
      <c r="M193" s="3">
        <v>14190471.629999999</v>
      </c>
      <c r="N193" s="3">
        <v>8187486.4728057701</v>
      </c>
      <c r="O193" s="3">
        <f t="shared" si="3"/>
        <v>14.252189725375647</v>
      </c>
      <c r="P193" s="3">
        <v>2419999.9956</v>
      </c>
      <c r="Q193" s="3">
        <v>749618.8944750001</v>
      </c>
      <c r="R193" s="3">
        <v>1587941.1842307693</v>
      </c>
      <c r="S193" s="3">
        <v>229048.94499999998</v>
      </c>
      <c r="T193" s="3">
        <v>1467139.6222999999</v>
      </c>
      <c r="U193" s="3">
        <v>1419047.1629999999</v>
      </c>
      <c r="V193" s="3">
        <v>314690.66820000001</v>
      </c>
      <c r="W193" s="3">
        <v>0</v>
      </c>
      <c r="X193" s="3">
        <v>6002985.1571942307</v>
      </c>
      <c r="Y193" s="3">
        <v>4188.585</v>
      </c>
      <c r="Z193" s="3">
        <v>724359.67079999996</v>
      </c>
      <c r="AA193" s="3">
        <v>-720171.0858</v>
      </c>
      <c r="AB193" s="3">
        <v>0</v>
      </c>
      <c r="AC193" s="3">
        <v>5.4</v>
      </c>
      <c r="AD193" s="3">
        <v>-5.4</v>
      </c>
      <c r="AE193" s="3">
        <v>5282808.6713942289</v>
      </c>
      <c r="AF193" s="3">
        <v>0</v>
      </c>
      <c r="AG193" s="3">
        <v>5282808.6713942289</v>
      </c>
      <c r="AH193" s="3">
        <v>5282808.6713942289</v>
      </c>
      <c r="AI193" s="3">
        <v>48150000</v>
      </c>
      <c r="AJ193" s="3">
        <v>5136913.2292235559</v>
      </c>
    </row>
    <row r="194" spans="1:36" x14ac:dyDescent="0.2">
      <c r="A194" s="3" t="s">
        <v>68</v>
      </c>
      <c r="B194" s="3" t="s">
        <v>69</v>
      </c>
      <c r="C194" s="3" t="s">
        <v>71</v>
      </c>
      <c r="D194" s="3">
        <v>1</v>
      </c>
      <c r="E194" s="3">
        <v>2022</v>
      </c>
      <c r="F194" s="3">
        <v>1</v>
      </c>
      <c r="G194" s="3" t="s">
        <v>48</v>
      </c>
      <c r="H194" s="3" t="s">
        <v>46</v>
      </c>
      <c r="I194" s="5">
        <v>94390584</v>
      </c>
      <c r="J194" s="3">
        <v>25499924.399999999</v>
      </c>
      <c r="K194" s="3">
        <v>68890659.599999994</v>
      </c>
      <c r="L194" s="3">
        <v>58289266.871999994</v>
      </c>
      <c r="M194" s="3">
        <v>10601392.728</v>
      </c>
      <c r="N194" s="3">
        <v>5527763.5847999994</v>
      </c>
      <c r="O194" s="3">
        <f t="shared" si="3"/>
        <v>8.023966698672746</v>
      </c>
      <c r="P194" s="3">
        <v>0</v>
      </c>
      <c r="Q194" s="3">
        <v>240057.67199999999</v>
      </c>
      <c r="R194" s="3">
        <v>0</v>
      </c>
      <c r="S194" s="3">
        <v>0</v>
      </c>
      <c r="T194" s="3">
        <v>0</v>
      </c>
      <c r="U194" s="3">
        <v>1060139.2727999999</v>
      </c>
      <c r="V194" s="3">
        <v>4227566.6399999997</v>
      </c>
      <c r="W194" s="3">
        <v>0</v>
      </c>
      <c r="X194" s="3">
        <v>5073629.1431999998</v>
      </c>
      <c r="Y194" s="3">
        <v>0</v>
      </c>
      <c r="Z194" s="3">
        <v>0</v>
      </c>
      <c r="AA194" s="3">
        <v>0</v>
      </c>
      <c r="AB194" s="3">
        <v>4252341.432</v>
      </c>
      <c r="AC194" s="3">
        <v>0</v>
      </c>
      <c r="AD194" s="3">
        <v>4252341.432</v>
      </c>
      <c r="AE194" s="3">
        <v>9325970.5752000008</v>
      </c>
      <c r="AF194" s="3">
        <v>0</v>
      </c>
      <c r="AG194" s="3">
        <v>9325970.5752000008</v>
      </c>
      <c r="AH194" s="3">
        <v>9325970.5752000008</v>
      </c>
      <c r="AI194" s="3">
        <v>0</v>
      </c>
      <c r="AJ194" s="3">
        <v>0</v>
      </c>
    </row>
    <row r="195" spans="1:36" x14ac:dyDescent="0.2">
      <c r="A195" s="3" t="s">
        <v>68</v>
      </c>
      <c r="B195" s="3" t="s">
        <v>69</v>
      </c>
      <c r="C195" s="3" t="s">
        <v>71</v>
      </c>
      <c r="D195" s="3">
        <v>3</v>
      </c>
      <c r="E195" s="3">
        <v>2022</v>
      </c>
      <c r="F195" s="3">
        <v>1</v>
      </c>
      <c r="G195" s="3" t="s">
        <v>39</v>
      </c>
      <c r="H195" s="3" t="s">
        <v>46</v>
      </c>
      <c r="I195" s="5">
        <v>477717501.62110931</v>
      </c>
      <c r="J195" s="3">
        <v>0</v>
      </c>
      <c r="K195" s="3">
        <v>477717501.62110931</v>
      </c>
      <c r="L195" s="3">
        <v>476664158.47200006</v>
      </c>
      <c r="M195" s="3">
        <v>1053343.1491092909</v>
      </c>
      <c r="N195" s="3">
        <v>640307.33772461605</v>
      </c>
      <c r="O195" s="3">
        <f t="shared" si="3"/>
        <v>0.13403472461271915</v>
      </c>
      <c r="P195" s="3">
        <v>104499.99981000001</v>
      </c>
      <c r="Q195" s="3">
        <v>31487.325919999999</v>
      </c>
      <c r="R195" s="3">
        <v>329137.95445033733</v>
      </c>
      <c r="S195" s="3">
        <v>25755.766666666663</v>
      </c>
      <c r="T195" s="3">
        <v>35453.797536682876</v>
      </c>
      <c r="U195" s="3">
        <v>105334.31491092911</v>
      </c>
      <c r="V195" s="3">
        <v>8638.1784299999999</v>
      </c>
      <c r="W195" s="3">
        <v>0</v>
      </c>
      <c r="X195" s="3">
        <v>413035.81138467486</v>
      </c>
      <c r="Y195" s="3">
        <v>51784.817710292424</v>
      </c>
      <c r="Z195" s="3">
        <v>114642.57760458424</v>
      </c>
      <c r="AA195" s="3">
        <v>-62857.759894291812</v>
      </c>
      <c r="AB195" s="3">
        <v>31350</v>
      </c>
      <c r="AC195" s="3">
        <v>20045</v>
      </c>
      <c r="AD195" s="3">
        <v>11305</v>
      </c>
      <c r="AE195" s="3">
        <v>361483.05149038316</v>
      </c>
      <c r="AF195" s="3">
        <v>0</v>
      </c>
      <c r="AG195" s="3">
        <v>361483.05149038316</v>
      </c>
      <c r="AH195" s="3">
        <v>361483.05149038316</v>
      </c>
      <c r="AI195" s="3">
        <v>342000000</v>
      </c>
      <c r="AJ195" s="3">
        <v>152000</v>
      </c>
    </row>
    <row r="196" spans="1:36" x14ac:dyDescent="0.2">
      <c r="A196" s="3" t="s">
        <v>68</v>
      </c>
      <c r="B196" s="3" t="s">
        <v>69</v>
      </c>
      <c r="C196" s="3" t="s">
        <v>71</v>
      </c>
      <c r="D196" s="3">
        <v>1</v>
      </c>
      <c r="E196" s="3">
        <v>2022</v>
      </c>
      <c r="F196" s="3">
        <v>1</v>
      </c>
      <c r="G196" s="3" t="s">
        <v>39</v>
      </c>
      <c r="H196" s="3" t="s">
        <v>46</v>
      </c>
      <c r="I196" s="5">
        <v>538243552.51999998</v>
      </c>
      <c r="J196" s="3">
        <v>0</v>
      </c>
      <c r="K196" s="3">
        <v>538243552.51999998</v>
      </c>
      <c r="L196" s="3">
        <v>537312842.51999998</v>
      </c>
      <c r="M196" s="3">
        <v>930709.99999992375</v>
      </c>
      <c r="N196" s="3">
        <v>745082.53040219727</v>
      </c>
      <c r="O196" s="3">
        <f t="shared" si="3"/>
        <v>0.13842851008875051</v>
      </c>
      <c r="P196" s="3">
        <v>109999.99980000001</v>
      </c>
      <c r="Q196" s="3">
        <v>33144.553599999999</v>
      </c>
      <c r="R196" s="3">
        <v>352670.95966864558</v>
      </c>
      <c r="S196" s="3">
        <v>27111.333333333336</v>
      </c>
      <c r="T196" s="3">
        <v>91936.297021095743</v>
      </c>
      <c r="U196" s="3">
        <v>93070.999999992375</v>
      </c>
      <c r="V196" s="3">
        <v>37148.386979130286</v>
      </c>
      <c r="W196" s="3">
        <v>0</v>
      </c>
      <c r="X196" s="3">
        <v>185627.46959772645</v>
      </c>
      <c r="Y196" s="3">
        <v>49630.30530724072</v>
      </c>
      <c r="Z196" s="3">
        <v>121909.82743958305</v>
      </c>
      <c r="AA196" s="3">
        <v>-72279.522132342332</v>
      </c>
      <c r="AB196" s="3">
        <v>27200</v>
      </c>
      <c r="AC196" s="3">
        <v>14900</v>
      </c>
      <c r="AD196" s="3">
        <v>12300</v>
      </c>
      <c r="AE196" s="3">
        <v>125647.94746538413</v>
      </c>
      <c r="AF196" s="3">
        <v>0</v>
      </c>
      <c r="AG196" s="3">
        <v>125647.94746538413</v>
      </c>
      <c r="AH196" s="3">
        <v>125647.94746538413</v>
      </c>
      <c r="AI196" s="3">
        <v>500000000</v>
      </c>
      <c r="AJ196" s="3">
        <v>200000</v>
      </c>
    </row>
    <row r="197" spans="1:36" x14ac:dyDescent="0.2">
      <c r="A197" s="3" t="s">
        <v>68</v>
      </c>
      <c r="B197" s="3" t="s">
        <v>69</v>
      </c>
      <c r="C197" s="3" t="s">
        <v>71</v>
      </c>
      <c r="D197" s="3">
        <v>2</v>
      </c>
      <c r="E197" s="3">
        <v>2022</v>
      </c>
      <c r="F197" s="3">
        <v>1</v>
      </c>
      <c r="G197" s="3" t="s">
        <v>39</v>
      </c>
      <c r="H197" s="3" t="s">
        <v>46</v>
      </c>
      <c r="I197" s="5">
        <v>599073797.5004425</v>
      </c>
      <c r="J197" s="3">
        <v>0</v>
      </c>
      <c r="K197" s="3">
        <v>599073797.5004425</v>
      </c>
      <c r="L197" s="3">
        <v>596669465.48000002</v>
      </c>
      <c r="M197" s="3">
        <v>2404332.0204424211</v>
      </c>
      <c r="N197" s="3">
        <v>952880.29675167997</v>
      </c>
      <c r="O197" s="3">
        <f t="shared" si="3"/>
        <v>0.15905891740340658</v>
      </c>
      <c r="P197" s="3">
        <v>120999.99978000001</v>
      </c>
      <c r="Q197" s="3">
        <v>36459.008959999999</v>
      </c>
      <c r="R197" s="3">
        <v>389468.75918591756</v>
      </c>
      <c r="S197" s="3">
        <v>29822.466666666667</v>
      </c>
      <c r="T197" s="3">
        <v>106214.82100533394</v>
      </c>
      <c r="U197" s="3">
        <v>240433.20204424212</v>
      </c>
      <c r="V197" s="3">
        <v>29482.039109519545</v>
      </c>
      <c r="W197" s="3">
        <v>0</v>
      </c>
      <c r="X197" s="3">
        <v>1451451.723690741</v>
      </c>
      <c r="Y197" s="3">
        <v>70173.13178832765</v>
      </c>
      <c r="Z197" s="3">
        <v>94053.942169118178</v>
      </c>
      <c r="AA197" s="3">
        <v>-23880.81038079055</v>
      </c>
      <c r="AB197" s="3">
        <v>17600.000000000004</v>
      </c>
      <c r="AC197" s="3">
        <v>10010.000000000002</v>
      </c>
      <c r="AD197" s="3">
        <v>7590.0000000000009</v>
      </c>
      <c r="AE197" s="3">
        <v>1435160.9133099506</v>
      </c>
      <c r="AF197" s="3">
        <v>0</v>
      </c>
      <c r="AG197" s="3">
        <v>1435160.9133099506</v>
      </c>
      <c r="AH197" s="3">
        <v>1435160.9133099506</v>
      </c>
      <c r="AI197" s="3">
        <v>528000000.00000006</v>
      </c>
      <c r="AJ197" s="3">
        <v>396000</v>
      </c>
    </row>
    <row r="198" spans="1:36" x14ac:dyDescent="0.2">
      <c r="A198" s="3" t="s">
        <v>68</v>
      </c>
      <c r="B198" s="3" t="s">
        <v>69</v>
      </c>
      <c r="C198" s="3" t="s">
        <v>72</v>
      </c>
      <c r="D198" s="3">
        <v>2</v>
      </c>
      <c r="E198" s="3">
        <v>2022</v>
      </c>
      <c r="F198" s="3">
        <v>1</v>
      </c>
      <c r="G198" s="3" t="s">
        <v>48</v>
      </c>
      <c r="H198" s="3" t="s">
        <v>46</v>
      </c>
      <c r="I198" s="5">
        <v>4832560</v>
      </c>
      <c r="J198" s="3">
        <v>30138.080000000002</v>
      </c>
      <c r="K198" s="3">
        <v>4802421.92</v>
      </c>
      <c r="L198" s="3">
        <v>3000802.4479999999</v>
      </c>
      <c r="M198" s="3">
        <v>1801619.4720000003</v>
      </c>
      <c r="N198" s="3">
        <v>1326275.1001156922</v>
      </c>
      <c r="O198" s="3">
        <f t="shared" si="3"/>
        <v>27.616796737336486</v>
      </c>
      <c r="P198" s="3">
        <v>369900.95999999996</v>
      </c>
      <c r="Q198" s="3">
        <v>27735.212928000001</v>
      </c>
      <c r="R198" s="3">
        <v>449498.75230769243</v>
      </c>
      <c r="S198" s="3">
        <v>68267.248000000007</v>
      </c>
      <c r="T198" s="3">
        <v>60772.831840000006</v>
      </c>
      <c r="U198" s="3">
        <v>180161.94720000002</v>
      </c>
      <c r="V198" s="3">
        <v>169938.14784000002</v>
      </c>
      <c r="W198" s="3">
        <v>0</v>
      </c>
      <c r="X198" s="3">
        <v>475344.37188430782</v>
      </c>
      <c r="Y198" s="3">
        <v>0</v>
      </c>
      <c r="Z198" s="3">
        <v>92333.243520000018</v>
      </c>
      <c r="AA198" s="3">
        <v>-92333.243520000018</v>
      </c>
      <c r="AB198" s="3">
        <v>0</v>
      </c>
      <c r="AC198" s="3">
        <v>0</v>
      </c>
      <c r="AD198" s="3">
        <v>0</v>
      </c>
      <c r="AE198" s="3">
        <v>383011.12836430786</v>
      </c>
      <c r="AF198" s="3">
        <v>0</v>
      </c>
      <c r="AG198" s="3">
        <v>383011.12836430786</v>
      </c>
      <c r="AH198" s="3">
        <v>383011.12836430786</v>
      </c>
      <c r="AI198" s="3">
        <v>3680000</v>
      </c>
      <c r="AJ198" s="3">
        <v>392603.12960789155</v>
      </c>
    </row>
    <row r="199" spans="1:36" x14ac:dyDescent="0.2">
      <c r="A199" s="3" t="s">
        <v>68</v>
      </c>
      <c r="B199" s="3" t="s">
        <v>69</v>
      </c>
      <c r="C199" s="3" t="s">
        <v>72</v>
      </c>
      <c r="D199" s="3">
        <v>1</v>
      </c>
      <c r="E199" s="3">
        <v>2022</v>
      </c>
      <c r="F199" s="3">
        <v>1</v>
      </c>
      <c r="G199" s="3" t="s">
        <v>48</v>
      </c>
      <c r="H199" s="3" t="s">
        <v>46</v>
      </c>
      <c r="I199" s="5">
        <v>6390832</v>
      </c>
      <c r="J199" s="3">
        <v>119871.08</v>
      </c>
      <c r="K199" s="3">
        <v>6270960.9199999999</v>
      </c>
      <c r="L199" s="3">
        <v>3926411.6639999999</v>
      </c>
      <c r="M199" s="3">
        <v>2344549.2560000001</v>
      </c>
      <c r="N199" s="3">
        <v>2247921.7421963061</v>
      </c>
      <c r="O199" s="3">
        <f t="shared" si="3"/>
        <v>35.846527683293331</v>
      </c>
      <c r="P199" s="3">
        <v>647326.67999999993</v>
      </c>
      <c r="Q199" s="3">
        <v>48536.622623999996</v>
      </c>
      <c r="R199" s="3">
        <v>867058.88769230631</v>
      </c>
      <c r="S199" s="3">
        <v>83461.923999999999</v>
      </c>
      <c r="T199" s="3">
        <v>203275.50628</v>
      </c>
      <c r="U199" s="3">
        <v>234454.92559999999</v>
      </c>
      <c r="V199" s="3">
        <v>163807.196</v>
      </c>
      <c r="W199" s="3">
        <v>0</v>
      </c>
      <c r="X199" s="3">
        <v>96627.513803693946</v>
      </c>
      <c r="Y199" s="3">
        <v>0</v>
      </c>
      <c r="Z199" s="3">
        <v>127904.95088000002</v>
      </c>
      <c r="AA199" s="3">
        <v>-127904.95088000002</v>
      </c>
      <c r="AB199" s="3">
        <v>0</v>
      </c>
      <c r="AC199" s="3">
        <v>0</v>
      </c>
      <c r="AD199" s="3">
        <v>0</v>
      </c>
      <c r="AE199" s="3">
        <v>-31277.437076306072</v>
      </c>
      <c r="AF199" s="3">
        <v>0</v>
      </c>
      <c r="AG199" s="3">
        <v>-31277.437076306072</v>
      </c>
      <c r="AH199" s="3">
        <v>-31277.437076306072</v>
      </c>
      <c r="AI199" s="3">
        <v>5600000</v>
      </c>
      <c r="AJ199" s="3">
        <v>597439.54505548708</v>
      </c>
    </row>
    <row r="200" spans="1:36" x14ac:dyDescent="0.2">
      <c r="A200" s="3" t="s">
        <v>68</v>
      </c>
      <c r="B200" s="3" t="s">
        <v>69</v>
      </c>
      <c r="C200" s="3" t="s">
        <v>72</v>
      </c>
      <c r="D200" s="3">
        <v>3</v>
      </c>
      <c r="E200" s="3">
        <v>2022</v>
      </c>
      <c r="F200" s="3">
        <v>1</v>
      </c>
      <c r="G200" s="3" t="s">
        <v>48</v>
      </c>
      <c r="H200" s="3" t="s">
        <v>46</v>
      </c>
      <c r="I200" s="5">
        <v>14045280</v>
      </c>
      <c r="J200" s="3">
        <v>568588.5</v>
      </c>
      <c r="K200" s="3">
        <v>13476691.5</v>
      </c>
      <c r="L200" s="3">
        <v>8698446.4199999999</v>
      </c>
      <c r="M200" s="3">
        <v>4778245.08</v>
      </c>
      <c r="N200" s="3">
        <v>2894617.5011399994</v>
      </c>
      <c r="O200" s="3">
        <f t="shared" si="3"/>
        <v>21.478695280217696</v>
      </c>
      <c r="P200" s="3">
        <v>693564.29999999993</v>
      </c>
      <c r="Q200" s="3">
        <v>52003.524239999999</v>
      </c>
      <c r="R200" s="3">
        <v>929268.375</v>
      </c>
      <c r="S200" s="3">
        <v>186893.72999999998</v>
      </c>
      <c r="T200" s="3">
        <v>237234.39480000004</v>
      </c>
      <c r="U200" s="3">
        <v>477824.50800000003</v>
      </c>
      <c r="V200" s="3">
        <v>317828.66909999994</v>
      </c>
      <c r="W200" s="3">
        <v>0</v>
      </c>
      <c r="X200" s="3">
        <v>1883627.5788600002</v>
      </c>
      <c r="Y200" s="3">
        <v>0</v>
      </c>
      <c r="Z200" s="3">
        <v>192125.48460000003</v>
      </c>
      <c r="AA200" s="3">
        <v>-192125.48460000003</v>
      </c>
      <c r="AB200" s="3">
        <v>0</v>
      </c>
      <c r="AC200" s="3">
        <v>0</v>
      </c>
      <c r="AD200" s="3">
        <v>0</v>
      </c>
      <c r="AE200" s="3">
        <v>1691502.0942600002</v>
      </c>
      <c r="AF200" s="3">
        <v>0</v>
      </c>
      <c r="AG200" s="3">
        <v>1691502.0942600002</v>
      </c>
      <c r="AH200" s="3">
        <v>1691502.0942600002</v>
      </c>
      <c r="AI200" s="3">
        <v>11850000</v>
      </c>
      <c r="AJ200" s="3">
        <v>1264224.7515906289</v>
      </c>
    </row>
    <row r="201" spans="1:36" x14ac:dyDescent="0.2">
      <c r="A201" s="3" t="s">
        <v>68</v>
      </c>
      <c r="B201" s="3" t="s">
        <v>69</v>
      </c>
      <c r="C201" s="3" t="s">
        <v>73</v>
      </c>
      <c r="D201" s="3">
        <v>3</v>
      </c>
      <c r="E201" s="3">
        <v>2022</v>
      </c>
      <c r="F201" s="3">
        <v>1</v>
      </c>
      <c r="G201" s="3" t="s">
        <v>42</v>
      </c>
      <c r="H201" s="3" t="s">
        <v>40</v>
      </c>
      <c r="I201" s="5">
        <v>0</v>
      </c>
      <c r="J201" s="3">
        <v>0</v>
      </c>
      <c r="K201" s="3">
        <v>0</v>
      </c>
      <c r="L201" s="3">
        <v>0</v>
      </c>
      <c r="M201" s="3">
        <v>0</v>
      </c>
      <c r="N201" s="3">
        <v>305021.69866666669</v>
      </c>
      <c r="O201" s="3" t="e">
        <f t="shared" si="3"/>
        <v>#DIV/0!</v>
      </c>
      <c r="P201" s="3">
        <v>0</v>
      </c>
      <c r="Q201" s="3">
        <v>0</v>
      </c>
      <c r="R201" s="3">
        <v>264666.60000000003</v>
      </c>
      <c r="S201" s="3">
        <v>19561.666666666672</v>
      </c>
      <c r="T201" s="3">
        <v>0</v>
      </c>
      <c r="U201" s="3">
        <v>0</v>
      </c>
      <c r="V201" s="3">
        <v>20793.432000000001</v>
      </c>
      <c r="W201" s="3">
        <v>0</v>
      </c>
      <c r="X201" s="3">
        <v>-305021.69866666669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-305021.69866666669</v>
      </c>
      <c r="AF201" s="3">
        <v>0</v>
      </c>
      <c r="AG201" s="3">
        <v>-305021.69866666669</v>
      </c>
      <c r="AH201" s="3">
        <v>-305021.69866666669</v>
      </c>
      <c r="AI201" s="3">
        <v>440000</v>
      </c>
      <c r="AJ201" s="3">
        <v>101200</v>
      </c>
    </row>
    <row r="202" spans="1:36" x14ac:dyDescent="0.2">
      <c r="A202" s="3" t="s">
        <v>68</v>
      </c>
      <c r="B202" s="3" t="s">
        <v>69</v>
      </c>
      <c r="C202" s="3" t="s">
        <v>73</v>
      </c>
      <c r="D202" s="3">
        <v>2</v>
      </c>
      <c r="E202" s="3">
        <v>2022</v>
      </c>
      <c r="F202" s="3">
        <v>1</v>
      </c>
      <c r="G202" s="3" t="s">
        <v>42</v>
      </c>
      <c r="H202" s="3" t="s">
        <v>40</v>
      </c>
      <c r="I202" s="5">
        <v>273182</v>
      </c>
      <c r="J202" s="3">
        <v>0</v>
      </c>
      <c r="K202" s="3">
        <v>273182</v>
      </c>
      <c r="L202" s="3">
        <v>163909.19999999998</v>
      </c>
      <c r="M202" s="3">
        <v>109272.8</v>
      </c>
      <c r="N202" s="3">
        <v>272281.27455128205</v>
      </c>
      <c r="O202" s="3">
        <f t="shared" si="3"/>
        <v>99.670283749032535</v>
      </c>
      <c r="P202" s="3">
        <v>0</v>
      </c>
      <c r="Q202" s="3">
        <v>0</v>
      </c>
      <c r="R202" s="3">
        <v>228345.9278846154</v>
      </c>
      <c r="S202" s="3">
        <v>30553.266666666663</v>
      </c>
      <c r="T202" s="3">
        <v>0</v>
      </c>
      <c r="U202" s="3">
        <v>10927.28</v>
      </c>
      <c r="V202" s="3">
        <v>2454.7999999999997</v>
      </c>
      <c r="W202" s="3">
        <v>0</v>
      </c>
      <c r="X202" s="3">
        <v>-163008.47455128207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-163008.47455128207</v>
      </c>
      <c r="AF202" s="3">
        <v>0</v>
      </c>
      <c r="AG202" s="3">
        <v>-163008.47455128207</v>
      </c>
      <c r="AH202" s="3">
        <v>-163008.47455128207</v>
      </c>
      <c r="AI202" s="3">
        <v>380000</v>
      </c>
      <c r="AJ202" s="3">
        <v>87400</v>
      </c>
    </row>
    <row r="203" spans="1:36" x14ac:dyDescent="0.2">
      <c r="A203" s="3" t="s">
        <v>68</v>
      </c>
      <c r="B203" s="3" t="s">
        <v>69</v>
      </c>
      <c r="C203" s="3" t="s">
        <v>73</v>
      </c>
      <c r="D203" s="3">
        <v>1</v>
      </c>
      <c r="E203" s="3">
        <v>2022</v>
      </c>
      <c r="F203" s="3">
        <v>1</v>
      </c>
      <c r="G203" s="3" t="s">
        <v>42</v>
      </c>
      <c r="H203" s="3" t="s">
        <v>40</v>
      </c>
      <c r="I203" s="5">
        <v>1461270</v>
      </c>
      <c r="J203" s="3">
        <v>79218</v>
      </c>
      <c r="K203" s="3">
        <v>1382052</v>
      </c>
      <c r="L203" s="3">
        <v>876762</v>
      </c>
      <c r="M203" s="3">
        <v>505290</v>
      </c>
      <c r="N203" s="3">
        <v>510051.29230769299</v>
      </c>
      <c r="O203" s="3">
        <f t="shared" si="3"/>
        <v>36.905361904450267</v>
      </c>
      <c r="P203" s="3">
        <v>0</v>
      </c>
      <c r="Q203" s="3">
        <v>0</v>
      </c>
      <c r="R203" s="3">
        <v>362132.19230769295</v>
      </c>
      <c r="S203" s="3">
        <v>95777.600000000006</v>
      </c>
      <c r="T203" s="3">
        <v>0</v>
      </c>
      <c r="U203" s="3">
        <v>50529</v>
      </c>
      <c r="V203" s="3">
        <v>1612.5</v>
      </c>
      <c r="W203" s="3">
        <v>0</v>
      </c>
      <c r="X203" s="3">
        <v>-4761.2923076929892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-4761.2923076929892</v>
      </c>
      <c r="AF203" s="3">
        <v>0</v>
      </c>
      <c r="AG203" s="3">
        <v>-4761.2923076929892</v>
      </c>
      <c r="AH203" s="3">
        <v>-4761.2923076929892</v>
      </c>
      <c r="AI203" s="3">
        <v>1382052</v>
      </c>
      <c r="AJ203" s="3">
        <v>138000</v>
      </c>
    </row>
    <row r="204" spans="1:36" x14ac:dyDescent="0.2">
      <c r="A204" s="3" t="s">
        <v>68</v>
      </c>
      <c r="B204" s="3" t="s">
        <v>69</v>
      </c>
      <c r="C204" s="3" t="s">
        <v>73</v>
      </c>
      <c r="D204" s="3">
        <v>3</v>
      </c>
      <c r="E204" s="3">
        <v>2022</v>
      </c>
      <c r="F204" s="3">
        <v>1</v>
      </c>
      <c r="G204" s="3" t="s">
        <v>39</v>
      </c>
      <c r="H204" s="3" t="s">
        <v>40</v>
      </c>
      <c r="I204" s="5">
        <v>2291144090.2761602</v>
      </c>
      <c r="J204" s="3">
        <v>0</v>
      </c>
      <c r="K204" s="3">
        <v>2291144090.2761602</v>
      </c>
      <c r="L204" s="3">
        <v>2288603052.3440003</v>
      </c>
      <c r="M204" s="3">
        <v>2541037.9321600338</v>
      </c>
      <c r="N204" s="3">
        <v>1656124.1781662309</v>
      </c>
      <c r="O204" s="3">
        <f t="shared" si="3"/>
        <v>7.2283719963095475E-2</v>
      </c>
      <c r="P204" s="3">
        <v>88200</v>
      </c>
      <c r="Q204" s="3">
        <v>26545.968399999998</v>
      </c>
      <c r="R204" s="3">
        <v>792541.75</v>
      </c>
      <c r="S204" s="3">
        <v>61442.791666666672</v>
      </c>
      <c r="T204" s="3">
        <v>132846.75918356091</v>
      </c>
      <c r="U204" s="3">
        <v>254103.7932160034</v>
      </c>
      <c r="V204" s="3">
        <v>300443.11570000002</v>
      </c>
      <c r="W204" s="3">
        <v>0</v>
      </c>
      <c r="X204" s="3">
        <v>884913.75399380317</v>
      </c>
      <c r="Y204" s="3">
        <v>253267.54370845415</v>
      </c>
      <c r="Z204" s="3">
        <v>407799.14202339447</v>
      </c>
      <c r="AA204" s="3">
        <v>-154531.59831494035</v>
      </c>
      <c r="AB204" s="3">
        <v>42000</v>
      </c>
      <c r="AC204" s="3">
        <v>243180</v>
      </c>
      <c r="AD204" s="3">
        <v>-201180</v>
      </c>
      <c r="AE204" s="3">
        <v>529202.15567886271</v>
      </c>
      <c r="AF204" s="3">
        <v>0</v>
      </c>
      <c r="AG204" s="3">
        <v>529202.15567886271</v>
      </c>
      <c r="AH204" s="3">
        <v>529202.15567886271</v>
      </c>
      <c r="AI204" s="3">
        <v>2701999999.9999995</v>
      </c>
      <c r="AJ204" s="3">
        <v>476000</v>
      </c>
    </row>
    <row r="205" spans="1:36" x14ac:dyDescent="0.2">
      <c r="A205" s="3" t="s">
        <v>68</v>
      </c>
      <c r="B205" s="3" t="s">
        <v>69</v>
      </c>
      <c r="C205" s="3" t="s">
        <v>73</v>
      </c>
      <c r="D205" s="3">
        <v>2</v>
      </c>
      <c r="E205" s="3">
        <v>2022</v>
      </c>
      <c r="F205" s="3">
        <v>1</v>
      </c>
      <c r="G205" s="3" t="s">
        <v>39</v>
      </c>
      <c r="H205" s="3" t="s">
        <v>40</v>
      </c>
      <c r="I205" s="5">
        <v>3792854957.6458788</v>
      </c>
      <c r="J205" s="3">
        <v>0</v>
      </c>
      <c r="K205" s="3">
        <v>3792854957.6458788</v>
      </c>
      <c r="L205" s="3">
        <v>3788140242.0149999</v>
      </c>
      <c r="M205" s="3">
        <v>4714715.6308784178</v>
      </c>
      <c r="N205" s="3">
        <v>3001150.2739660204</v>
      </c>
      <c r="O205" s="3">
        <f t="shared" si="3"/>
        <v>7.9126418159389672E-2</v>
      </c>
      <c r="P205" s="3">
        <v>170100</v>
      </c>
      <c r="Q205" s="3">
        <v>51195.796200000004</v>
      </c>
      <c r="R205" s="3">
        <v>1507065.3675309068</v>
      </c>
      <c r="S205" s="3">
        <v>118496.81250000001</v>
      </c>
      <c r="T205" s="3">
        <v>327190.48200000008</v>
      </c>
      <c r="U205" s="3">
        <v>471471.56308784185</v>
      </c>
      <c r="V205" s="3">
        <v>355630.2526472715</v>
      </c>
      <c r="W205" s="3">
        <v>0</v>
      </c>
      <c r="X205" s="3">
        <v>1713565.3569123985</v>
      </c>
      <c r="Y205" s="3">
        <v>465126.21915524278</v>
      </c>
      <c r="Z205" s="3">
        <v>1088559.5170197994</v>
      </c>
      <c r="AA205" s="3">
        <v>-623433.29786455655</v>
      </c>
      <c r="AB205" s="3">
        <v>55890</v>
      </c>
      <c r="AC205" s="3">
        <v>-142830.00000000003</v>
      </c>
      <c r="AD205" s="3">
        <v>198720</v>
      </c>
      <c r="AE205" s="3">
        <v>1288852.0590478417</v>
      </c>
      <c r="AF205" s="3">
        <v>0</v>
      </c>
      <c r="AG205" s="3">
        <v>1288852.0590478417</v>
      </c>
      <c r="AH205" s="3">
        <v>1288852.0590478417</v>
      </c>
      <c r="AI205" s="3">
        <v>4023000000</v>
      </c>
      <c r="AJ205" s="3">
        <v>1080000</v>
      </c>
    </row>
    <row r="206" spans="1:36" x14ac:dyDescent="0.2">
      <c r="A206" s="3" t="s">
        <v>68</v>
      </c>
      <c r="B206" s="3" t="s">
        <v>69</v>
      </c>
      <c r="C206" s="3" t="s">
        <v>73</v>
      </c>
      <c r="D206" s="3">
        <v>1</v>
      </c>
      <c r="E206" s="3">
        <v>2022</v>
      </c>
      <c r="F206" s="3">
        <v>1</v>
      </c>
      <c r="G206" s="3" t="s">
        <v>39</v>
      </c>
      <c r="H206" s="3" t="s">
        <v>40</v>
      </c>
      <c r="I206" s="5">
        <v>6471343994.9699984</v>
      </c>
      <c r="J206" s="3">
        <v>0</v>
      </c>
      <c r="K206" s="3">
        <v>6471343994.9699984</v>
      </c>
      <c r="L206" s="3">
        <v>6464649001.2039995</v>
      </c>
      <c r="M206" s="3">
        <v>6694993.7660000008</v>
      </c>
      <c r="N206" s="3">
        <v>3714402.3648518277</v>
      </c>
      <c r="O206" s="3">
        <f t="shared" si="3"/>
        <v>5.7397696177779033E-2</v>
      </c>
      <c r="P206" s="3">
        <v>182700</v>
      </c>
      <c r="Q206" s="3">
        <v>58504.343349999996</v>
      </c>
      <c r="R206" s="3">
        <v>1811593.2620192301</v>
      </c>
      <c r="S206" s="3">
        <v>127274.35416666667</v>
      </c>
      <c r="T206" s="3">
        <v>483560.58699999994</v>
      </c>
      <c r="U206" s="3">
        <v>669499.37660000008</v>
      </c>
      <c r="V206" s="3">
        <v>381270.44171593047</v>
      </c>
      <c r="W206" s="3">
        <v>0</v>
      </c>
      <c r="X206" s="3">
        <v>2980591.4011481726</v>
      </c>
      <c r="Y206" s="3">
        <v>616010.78855500964</v>
      </c>
      <c r="Z206" s="3">
        <v>952369.09054011595</v>
      </c>
      <c r="AA206" s="3">
        <v>-336358.3019851062</v>
      </c>
      <c r="AB206" s="3">
        <v>0</v>
      </c>
      <c r="AC206" s="3">
        <v>283417</v>
      </c>
      <c r="AD206" s="3">
        <v>-283417</v>
      </c>
      <c r="AE206" s="3">
        <v>2360816.0991630661</v>
      </c>
      <c r="AF206" s="3">
        <v>0</v>
      </c>
      <c r="AG206" s="3">
        <v>2360816.0991630661</v>
      </c>
      <c r="AH206" s="3">
        <v>2360816.0991630661</v>
      </c>
      <c r="AI206" s="3">
        <v>6061000000</v>
      </c>
      <c r="AJ206" s="3">
        <v>2030000</v>
      </c>
    </row>
    <row r="207" spans="1:36" x14ac:dyDescent="0.2">
      <c r="A207" s="3" t="s">
        <v>68</v>
      </c>
      <c r="B207" s="3" t="s">
        <v>69</v>
      </c>
      <c r="C207" s="3" t="s">
        <v>74</v>
      </c>
      <c r="D207" s="3">
        <v>1</v>
      </c>
      <c r="E207" s="3">
        <v>2022</v>
      </c>
      <c r="F207" s="3">
        <v>1</v>
      </c>
      <c r="G207" s="3" t="s">
        <v>42</v>
      </c>
      <c r="H207" s="3" t="s">
        <v>40</v>
      </c>
      <c r="I207" s="5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 t="e">
        <f t="shared" si="3"/>
        <v>#DIV/0!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</row>
    <row r="208" spans="1:36" x14ac:dyDescent="0.2">
      <c r="A208" s="3" t="s">
        <v>68</v>
      </c>
      <c r="B208" s="3" t="s">
        <v>69</v>
      </c>
      <c r="C208" s="3" t="s">
        <v>74</v>
      </c>
      <c r="D208" s="3">
        <v>1</v>
      </c>
      <c r="E208" s="3">
        <v>2022</v>
      </c>
      <c r="F208" s="3">
        <v>1</v>
      </c>
      <c r="G208" s="3" t="s">
        <v>48</v>
      </c>
      <c r="H208" s="3" t="s">
        <v>46</v>
      </c>
      <c r="I208" s="5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 t="e">
        <f t="shared" ref="O208:O271" si="4">N208/K208*100</f>
        <v>#DIV/0!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</row>
    <row r="209" spans="1:36" x14ac:dyDescent="0.2">
      <c r="A209" s="3" t="s">
        <v>68</v>
      </c>
      <c r="B209" s="3" t="s">
        <v>69</v>
      </c>
      <c r="C209" s="3" t="s">
        <v>74</v>
      </c>
      <c r="D209" s="3">
        <v>1</v>
      </c>
      <c r="E209" s="3">
        <v>2022</v>
      </c>
      <c r="F209" s="3">
        <v>1</v>
      </c>
      <c r="G209" s="3" t="s">
        <v>39</v>
      </c>
      <c r="H209" s="3" t="s">
        <v>40</v>
      </c>
      <c r="I209" s="5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 t="e">
        <f t="shared" si="4"/>
        <v>#DIV/0!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</row>
    <row r="210" spans="1:36" x14ac:dyDescent="0.2">
      <c r="A210" s="3" t="s">
        <v>68</v>
      </c>
      <c r="B210" s="3" t="s">
        <v>69</v>
      </c>
      <c r="C210" s="3" t="s">
        <v>74</v>
      </c>
      <c r="D210" s="3">
        <v>2</v>
      </c>
      <c r="E210" s="3">
        <v>2022</v>
      </c>
      <c r="F210" s="3">
        <v>1</v>
      </c>
      <c r="G210" s="3" t="s">
        <v>42</v>
      </c>
      <c r="H210" s="3" t="s">
        <v>40</v>
      </c>
      <c r="I210" s="5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 t="e">
        <f t="shared" si="4"/>
        <v>#DIV/0!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</row>
    <row r="211" spans="1:36" x14ac:dyDescent="0.2">
      <c r="A211" s="3" t="s">
        <v>68</v>
      </c>
      <c r="B211" s="3" t="s">
        <v>69</v>
      </c>
      <c r="C211" s="3" t="s">
        <v>74</v>
      </c>
      <c r="D211" s="3">
        <v>2</v>
      </c>
      <c r="E211" s="3">
        <v>2022</v>
      </c>
      <c r="F211" s="3">
        <v>1</v>
      </c>
      <c r="G211" s="3" t="s">
        <v>48</v>
      </c>
      <c r="H211" s="3" t="s">
        <v>46</v>
      </c>
      <c r="I211" s="5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 t="e">
        <f t="shared" si="4"/>
        <v>#DIV/0!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</row>
    <row r="212" spans="1:36" x14ac:dyDescent="0.2">
      <c r="A212" s="3" t="s">
        <v>68</v>
      </c>
      <c r="B212" s="3" t="s">
        <v>69</v>
      </c>
      <c r="C212" s="3" t="s">
        <v>74</v>
      </c>
      <c r="D212" s="3">
        <v>2</v>
      </c>
      <c r="E212" s="3">
        <v>2022</v>
      </c>
      <c r="F212" s="3">
        <v>1</v>
      </c>
      <c r="G212" s="3" t="s">
        <v>39</v>
      </c>
      <c r="H212" s="3" t="s">
        <v>40</v>
      </c>
      <c r="I212" s="5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 t="e">
        <f t="shared" si="4"/>
        <v>#DIV/0!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</row>
    <row r="213" spans="1:36" x14ac:dyDescent="0.2">
      <c r="A213" s="3" t="s">
        <v>68</v>
      </c>
      <c r="B213" s="3" t="s">
        <v>69</v>
      </c>
      <c r="C213" s="3" t="s">
        <v>74</v>
      </c>
      <c r="D213" s="3">
        <v>3</v>
      </c>
      <c r="E213" s="3">
        <v>2022</v>
      </c>
      <c r="F213" s="3">
        <v>1</v>
      </c>
      <c r="G213" s="3" t="s">
        <v>42</v>
      </c>
      <c r="H213" s="3" t="s">
        <v>40</v>
      </c>
      <c r="I213" s="5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 t="e">
        <f t="shared" si="4"/>
        <v>#DIV/0!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</row>
    <row r="214" spans="1:36" x14ac:dyDescent="0.2">
      <c r="A214" s="3" t="s">
        <v>68</v>
      </c>
      <c r="B214" s="3" t="s">
        <v>69</v>
      </c>
      <c r="C214" s="3" t="s">
        <v>74</v>
      </c>
      <c r="D214" s="3">
        <v>3</v>
      </c>
      <c r="E214" s="3">
        <v>2022</v>
      </c>
      <c r="F214" s="3">
        <v>1</v>
      </c>
      <c r="G214" s="3" t="s">
        <v>48</v>
      </c>
      <c r="H214" s="3" t="s">
        <v>46</v>
      </c>
      <c r="I214" s="5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 t="e">
        <f t="shared" si="4"/>
        <v>#DIV/0!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</row>
    <row r="215" spans="1:36" x14ac:dyDescent="0.2">
      <c r="A215" s="3" t="s">
        <v>68</v>
      </c>
      <c r="B215" s="3" t="s">
        <v>69</v>
      </c>
      <c r="C215" s="3" t="s">
        <v>74</v>
      </c>
      <c r="D215" s="3">
        <v>3</v>
      </c>
      <c r="E215" s="3">
        <v>2022</v>
      </c>
      <c r="F215" s="3">
        <v>1</v>
      </c>
      <c r="G215" s="3" t="s">
        <v>39</v>
      </c>
      <c r="H215" s="3" t="s">
        <v>40</v>
      </c>
      <c r="I215" s="5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 t="e">
        <f t="shared" si="4"/>
        <v>#DIV/0!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</row>
    <row r="216" spans="1:36" x14ac:dyDescent="0.2">
      <c r="A216" s="3" t="s">
        <v>68</v>
      </c>
      <c r="B216" s="3" t="s">
        <v>69</v>
      </c>
      <c r="C216" s="3" t="s">
        <v>74</v>
      </c>
      <c r="D216" s="3">
        <v>3</v>
      </c>
      <c r="E216" s="3">
        <v>2022</v>
      </c>
      <c r="F216" s="3">
        <v>1</v>
      </c>
      <c r="G216" s="3" t="s">
        <v>42</v>
      </c>
      <c r="H216" s="3" t="s">
        <v>46</v>
      </c>
      <c r="I216" s="5">
        <v>91669</v>
      </c>
      <c r="J216" s="3">
        <v>4294.8999999999996</v>
      </c>
      <c r="K216" s="3">
        <v>87374.1</v>
      </c>
      <c r="L216" s="3">
        <v>55001.4</v>
      </c>
      <c r="M216" s="3">
        <v>32372.7</v>
      </c>
      <c r="N216" s="3">
        <v>236834.63669074356</v>
      </c>
      <c r="O216" s="3">
        <f t="shared" si="4"/>
        <v>271.05817020231797</v>
      </c>
      <c r="P216" s="3">
        <v>19333.333720000002</v>
      </c>
      <c r="Q216" s="3">
        <v>22720.445820999998</v>
      </c>
      <c r="R216" s="3">
        <v>154056.4769230769</v>
      </c>
      <c r="S216" s="3">
        <v>17062.246666666666</v>
      </c>
      <c r="T216" s="3">
        <v>232</v>
      </c>
      <c r="U216" s="3">
        <v>3237.2699999999995</v>
      </c>
      <c r="V216" s="3">
        <v>20192.863559999998</v>
      </c>
      <c r="W216" s="3">
        <v>0</v>
      </c>
      <c r="X216" s="3">
        <v>-204461.93669074358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-204461.93669074358</v>
      </c>
      <c r="AF216" s="3">
        <v>0</v>
      </c>
      <c r="AG216" s="3">
        <v>-204461.93669074358</v>
      </c>
      <c r="AH216" s="3">
        <v>-204461.93669074358</v>
      </c>
      <c r="AI216" s="3">
        <v>435000</v>
      </c>
      <c r="AJ216" s="3">
        <v>98600</v>
      </c>
    </row>
    <row r="217" spans="1:36" x14ac:dyDescent="0.2">
      <c r="A217" s="3" t="s">
        <v>68</v>
      </c>
      <c r="B217" s="3" t="s">
        <v>69</v>
      </c>
      <c r="C217" s="3" t="s">
        <v>74</v>
      </c>
      <c r="D217" s="3">
        <v>1</v>
      </c>
      <c r="E217" s="3">
        <v>2022</v>
      </c>
      <c r="F217" s="3">
        <v>1</v>
      </c>
      <c r="G217" s="3" t="s">
        <v>42</v>
      </c>
      <c r="H217" s="3" t="s">
        <v>46</v>
      </c>
      <c r="I217" s="5">
        <v>139968</v>
      </c>
      <c r="J217" s="3">
        <v>20995.200000000001</v>
      </c>
      <c r="K217" s="3">
        <v>118972.8</v>
      </c>
      <c r="L217" s="3">
        <v>83980.800000000003</v>
      </c>
      <c r="M217" s="3">
        <v>34992</v>
      </c>
      <c r="N217" s="3">
        <v>229972.63987980565</v>
      </c>
      <c r="O217" s="3">
        <f t="shared" si="4"/>
        <v>193.2985017414112</v>
      </c>
      <c r="P217" s="3">
        <v>16000.000320000001</v>
      </c>
      <c r="Q217" s="3">
        <v>18803.127575999999</v>
      </c>
      <c r="R217" s="3">
        <v>165489.95198380557</v>
      </c>
      <c r="S217" s="3">
        <v>16453.64</v>
      </c>
      <c r="T217" s="3">
        <v>0</v>
      </c>
      <c r="U217" s="3">
        <v>3499.2000000000003</v>
      </c>
      <c r="V217" s="3">
        <v>9726.7200000000012</v>
      </c>
      <c r="W217" s="3">
        <v>0</v>
      </c>
      <c r="X217" s="3">
        <v>-194980.63987980565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-194980.63987980565</v>
      </c>
      <c r="AF217" s="3">
        <v>0</v>
      </c>
      <c r="AG217" s="3">
        <v>-194980.63987980565</v>
      </c>
      <c r="AH217" s="3">
        <v>-194980.63987980565</v>
      </c>
      <c r="AI217" s="3">
        <v>360000</v>
      </c>
      <c r="AJ217" s="3">
        <v>81600</v>
      </c>
    </row>
    <row r="218" spans="1:36" x14ac:dyDescent="0.2">
      <c r="A218" s="3" t="s">
        <v>68</v>
      </c>
      <c r="B218" s="3" t="s">
        <v>69</v>
      </c>
      <c r="C218" s="3" t="s">
        <v>74</v>
      </c>
      <c r="D218" s="3">
        <v>2</v>
      </c>
      <c r="E218" s="3">
        <v>2022</v>
      </c>
      <c r="F218" s="3">
        <v>1</v>
      </c>
      <c r="G218" s="3" t="s">
        <v>42</v>
      </c>
      <c r="H218" s="3" t="s">
        <v>46</v>
      </c>
      <c r="I218" s="5">
        <v>461838</v>
      </c>
      <c r="J218" s="3">
        <v>0</v>
      </c>
      <c r="K218" s="3">
        <v>461838</v>
      </c>
      <c r="L218" s="3">
        <v>279182.8</v>
      </c>
      <c r="M218" s="3">
        <v>182655.2</v>
      </c>
      <c r="N218" s="3">
        <v>231060.1565649524</v>
      </c>
      <c r="O218" s="3">
        <f t="shared" si="4"/>
        <v>50.030564086314335</v>
      </c>
      <c r="P218" s="3">
        <v>17333.333680000003</v>
      </c>
      <c r="Q218" s="3">
        <v>20370.054874000001</v>
      </c>
      <c r="R218" s="3">
        <v>136633.39446428569</v>
      </c>
      <c r="S218" s="3">
        <v>34472.316666666673</v>
      </c>
      <c r="T218" s="3">
        <v>0</v>
      </c>
      <c r="U218" s="3">
        <v>18265.52</v>
      </c>
      <c r="V218" s="3">
        <v>3985.5368800000001</v>
      </c>
      <c r="W218" s="3">
        <v>0</v>
      </c>
      <c r="X218" s="3">
        <v>-48404.956564952379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-48404.956564952379</v>
      </c>
      <c r="AF218" s="3">
        <v>0</v>
      </c>
      <c r="AG218" s="3">
        <v>-48404.956564952379</v>
      </c>
      <c r="AH218" s="3">
        <v>-48404.956564952379</v>
      </c>
      <c r="AI218" s="3">
        <v>390000</v>
      </c>
      <c r="AJ218" s="3">
        <v>88400</v>
      </c>
    </row>
    <row r="219" spans="1:36" x14ac:dyDescent="0.2">
      <c r="A219" s="3" t="s">
        <v>68</v>
      </c>
      <c r="B219" s="3" t="s">
        <v>69</v>
      </c>
      <c r="C219" s="3" t="s">
        <v>74</v>
      </c>
      <c r="D219" s="3">
        <v>2</v>
      </c>
      <c r="E219" s="3">
        <v>2022</v>
      </c>
      <c r="F219" s="3">
        <v>1</v>
      </c>
      <c r="G219" s="3" t="s">
        <v>48</v>
      </c>
      <c r="H219" s="3" t="s">
        <v>46</v>
      </c>
      <c r="I219" s="5">
        <v>2437410</v>
      </c>
      <c r="J219" s="3">
        <v>46986</v>
      </c>
      <c r="K219" s="3">
        <v>2390424</v>
      </c>
      <c r="L219" s="3">
        <v>1642659.9</v>
      </c>
      <c r="M219" s="3">
        <v>747764.10000000009</v>
      </c>
      <c r="N219" s="3">
        <v>1237285.1085208242</v>
      </c>
      <c r="O219" s="3">
        <f t="shared" si="4"/>
        <v>51.760068863131572</v>
      </c>
      <c r="P219" s="3">
        <v>170000.00339999999</v>
      </c>
      <c r="Q219" s="3">
        <v>188733.63371999998</v>
      </c>
      <c r="R219" s="3">
        <v>584370.8335508242</v>
      </c>
      <c r="S219" s="3">
        <v>56306.57</v>
      </c>
      <c r="T219" s="3">
        <v>56974.529849999999</v>
      </c>
      <c r="U219" s="3">
        <v>74776.41</v>
      </c>
      <c r="V219" s="3">
        <v>106123.12800000001</v>
      </c>
      <c r="W219" s="3">
        <v>0</v>
      </c>
      <c r="X219" s="3">
        <v>-489521.00852082431</v>
      </c>
      <c r="Y219" s="3">
        <v>0</v>
      </c>
      <c r="Z219" s="3">
        <v>49464.237599999993</v>
      </c>
      <c r="AA219" s="3">
        <v>-49464.237599999993</v>
      </c>
      <c r="AB219" s="3">
        <v>0</v>
      </c>
      <c r="AC219" s="3">
        <v>0</v>
      </c>
      <c r="AD219" s="3">
        <v>0</v>
      </c>
      <c r="AE219" s="3">
        <v>-538985.24612082436</v>
      </c>
      <c r="AF219" s="3">
        <v>0</v>
      </c>
      <c r="AG219" s="3">
        <v>-538985.24612082436</v>
      </c>
      <c r="AH219" s="3">
        <v>-538985.24612082436</v>
      </c>
      <c r="AI219" s="3">
        <v>3030000</v>
      </c>
      <c r="AJ219" s="3">
        <v>323257.46773750003</v>
      </c>
    </row>
    <row r="220" spans="1:36" x14ac:dyDescent="0.2">
      <c r="A220" s="3" t="s">
        <v>68</v>
      </c>
      <c r="B220" s="3" t="s">
        <v>69</v>
      </c>
      <c r="C220" s="3" t="s">
        <v>74</v>
      </c>
      <c r="D220" s="3">
        <v>3</v>
      </c>
      <c r="E220" s="3">
        <v>2022</v>
      </c>
      <c r="F220" s="3">
        <v>1</v>
      </c>
      <c r="G220" s="3" t="s">
        <v>48</v>
      </c>
      <c r="H220" s="3" t="s">
        <v>46</v>
      </c>
      <c r="I220" s="5">
        <v>3905325</v>
      </c>
      <c r="J220" s="3">
        <v>151683.75</v>
      </c>
      <c r="K220" s="3">
        <v>3753641.25</v>
      </c>
      <c r="L220" s="3">
        <v>2436191.625</v>
      </c>
      <c r="M220" s="3">
        <v>1317449.625</v>
      </c>
      <c r="N220" s="3">
        <v>1433589.779962308</v>
      </c>
      <c r="O220" s="3">
        <f t="shared" si="4"/>
        <v>38.191976389920271</v>
      </c>
      <c r="P220" s="3">
        <v>170000.00339999999</v>
      </c>
      <c r="Q220" s="3">
        <v>188733.63371999998</v>
      </c>
      <c r="R220" s="3">
        <v>559698.09519230761</v>
      </c>
      <c r="S220" s="3">
        <v>71980.580000000016</v>
      </c>
      <c r="T220" s="3">
        <v>119157.19740000002</v>
      </c>
      <c r="U220" s="3">
        <v>131744.96249999999</v>
      </c>
      <c r="V220" s="3">
        <v>192275.30775000004</v>
      </c>
      <c r="W220" s="3">
        <v>0</v>
      </c>
      <c r="X220" s="3">
        <v>-116140.1549623078</v>
      </c>
      <c r="Y220" s="3">
        <v>0</v>
      </c>
      <c r="Z220" s="3">
        <v>54892.995600000002</v>
      </c>
      <c r="AA220" s="3">
        <v>-54892.995600000002</v>
      </c>
      <c r="AB220" s="3">
        <v>0</v>
      </c>
      <c r="AC220" s="3">
        <v>0</v>
      </c>
      <c r="AD220" s="3">
        <v>0</v>
      </c>
      <c r="AE220" s="3">
        <v>-171033.1505623078</v>
      </c>
      <c r="AF220" s="3">
        <v>0</v>
      </c>
      <c r="AG220" s="3">
        <v>-171033.1505623078</v>
      </c>
      <c r="AH220" s="3">
        <v>-171033.1505623078</v>
      </c>
      <c r="AI220" s="3">
        <v>2850000</v>
      </c>
      <c r="AJ220" s="3">
        <v>304054.05381250003</v>
      </c>
    </row>
    <row r="221" spans="1:36" x14ac:dyDescent="0.2">
      <c r="A221" s="3" t="s">
        <v>68</v>
      </c>
      <c r="B221" s="3" t="s">
        <v>69</v>
      </c>
      <c r="C221" s="3" t="s">
        <v>74</v>
      </c>
      <c r="D221" s="3">
        <v>1</v>
      </c>
      <c r="E221" s="3">
        <v>2022</v>
      </c>
      <c r="F221" s="3">
        <v>1</v>
      </c>
      <c r="G221" s="3" t="s">
        <v>48</v>
      </c>
      <c r="H221" s="3" t="s">
        <v>46</v>
      </c>
      <c r="I221" s="5">
        <v>3987819</v>
      </c>
      <c r="J221" s="3">
        <v>149718.59</v>
      </c>
      <c r="K221" s="3">
        <v>3838100.41</v>
      </c>
      <c r="L221" s="3">
        <v>2741164.9989999998</v>
      </c>
      <c r="M221" s="3">
        <v>1096935.4109999998</v>
      </c>
      <c r="N221" s="3">
        <v>2552896.0962835401</v>
      </c>
      <c r="O221" s="3">
        <f t="shared" si="4"/>
        <v>66.514572928631125</v>
      </c>
      <c r="P221" s="3">
        <v>328666.67324000003</v>
      </c>
      <c r="Q221" s="3">
        <v>364885.02519200003</v>
      </c>
      <c r="R221" s="3">
        <v>1167996.7979615401</v>
      </c>
      <c r="S221" s="3">
        <v>130681.4046666667</v>
      </c>
      <c r="T221" s="3">
        <v>246465.37912333338</v>
      </c>
      <c r="U221" s="3">
        <v>109693.54110000002</v>
      </c>
      <c r="V221" s="3">
        <v>204507.27500000002</v>
      </c>
      <c r="W221" s="3">
        <v>0</v>
      </c>
      <c r="X221" s="3">
        <v>-1455960.6852835396</v>
      </c>
      <c r="Y221" s="3">
        <v>0</v>
      </c>
      <c r="Z221" s="3">
        <v>75698.848480000001</v>
      </c>
      <c r="AA221" s="3">
        <v>-75698.848480000001</v>
      </c>
      <c r="AB221" s="3">
        <v>0</v>
      </c>
      <c r="AC221" s="3">
        <v>0</v>
      </c>
      <c r="AD221" s="3">
        <v>0</v>
      </c>
      <c r="AE221" s="3">
        <v>-1531659.5337635397</v>
      </c>
      <c r="AF221" s="3">
        <v>0</v>
      </c>
      <c r="AG221" s="3">
        <v>-1531659.5337635397</v>
      </c>
      <c r="AH221" s="3">
        <v>-1531659.5337635397</v>
      </c>
      <c r="AI221" s="3">
        <v>5800000</v>
      </c>
      <c r="AJ221" s="3">
        <v>618776.67091666663</v>
      </c>
    </row>
    <row r="222" spans="1:36" x14ac:dyDescent="0.2">
      <c r="A222" s="3" t="s">
        <v>68</v>
      </c>
      <c r="B222" s="3" t="s">
        <v>69</v>
      </c>
      <c r="C222" s="3" t="s">
        <v>74</v>
      </c>
      <c r="D222" s="3">
        <v>2</v>
      </c>
      <c r="E222" s="3">
        <v>2022</v>
      </c>
      <c r="F222" s="3">
        <v>1</v>
      </c>
      <c r="G222" s="3" t="s">
        <v>39</v>
      </c>
      <c r="H222" s="3" t="s">
        <v>46</v>
      </c>
      <c r="I222" s="5">
        <v>50637504.038085409</v>
      </c>
      <c r="J222" s="3">
        <v>0</v>
      </c>
      <c r="K222" s="3">
        <v>50637504.038085409</v>
      </c>
      <c r="L222" s="3">
        <v>50509956</v>
      </c>
      <c r="M222" s="3">
        <v>127548.03808540535</v>
      </c>
      <c r="N222" s="3">
        <v>87023.884129539932</v>
      </c>
      <c r="O222" s="3">
        <f t="shared" si="4"/>
        <v>0.17185658294707348</v>
      </c>
      <c r="P222" s="3">
        <v>8000.0001600000005</v>
      </c>
      <c r="Q222" s="3">
        <v>9401.5637879999995</v>
      </c>
      <c r="R222" s="3">
        <v>41334.852588787384</v>
      </c>
      <c r="S222" s="3">
        <v>3611.3</v>
      </c>
      <c r="T222" s="3">
        <v>8970.5752685831067</v>
      </c>
      <c r="U222" s="3">
        <v>12754.803808540537</v>
      </c>
      <c r="V222" s="3">
        <v>2950.7885156289094</v>
      </c>
      <c r="W222" s="3">
        <v>0</v>
      </c>
      <c r="X222" s="3">
        <v>40524.153955865419</v>
      </c>
      <c r="Y222" s="3">
        <v>5926.6056712347399</v>
      </c>
      <c r="Z222" s="3">
        <v>8176.7816666171711</v>
      </c>
      <c r="AA222" s="3">
        <v>-2250.1759953824303</v>
      </c>
      <c r="AB222" s="3">
        <v>7200</v>
      </c>
      <c r="AC222" s="3">
        <v>6900</v>
      </c>
      <c r="AD222" s="3">
        <v>300</v>
      </c>
      <c r="AE222" s="3">
        <v>38573.977960482989</v>
      </c>
      <c r="AF222" s="3">
        <v>0</v>
      </c>
      <c r="AG222" s="3">
        <v>38573.977960482989</v>
      </c>
      <c r="AH222" s="3">
        <v>38573.977960482989</v>
      </c>
      <c r="AI222" s="3">
        <v>49992000</v>
      </c>
      <c r="AJ222" s="3">
        <v>3000</v>
      </c>
    </row>
    <row r="223" spans="1:36" x14ac:dyDescent="0.2">
      <c r="A223" s="3" t="s">
        <v>68</v>
      </c>
      <c r="B223" s="3" t="s">
        <v>69</v>
      </c>
      <c r="C223" s="3" t="s">
        <v>74</v>
      </c>
      <c r="D223" s="3">
        <v>1</v>
      </c>
      <c r="E223" s="3">
        <v>2022</v>
      </c>
      <c r="F223" s="3">
        <v>1</v>
      </c>
      <c r="G223" s="3" t="s">
        <v>39</v>
      </c>
      <c r="H223" s="3" t="s">
        <v>46</v>
      </c>
      <c r="I223" s="5">
        <v>103025626</v>
      </c>
      <c r="J223" s="3">
        <v>0</v>
      </c>
      <c r="K223" s="3">
        <v>103025626</v>
      </c>
      <c r="L223" s="3">
        <v>102864696</v>
      </c>
      <c r="M223" s="3">
        <v>160930.00000000003</v>
      </c>
      <c r="N223" s="3">
        <v>164244.23130476434</v>
      </c>
      <c r="O223" s="3">
        <f t="shared" si="4"/>
        <v>0.15942075547763654</v>
      </c>
      <c r="P223" s="3">
        <v>14666.666960000002</v>
      </c>
      <c r="Q223" s="3">
        <v>17236.200278</v>
      </c>
      <c r="R223" s="3">
        <v>79014.7878322654</v>
      </c>
      <c r="S223" s="3">
        <v>6620.7166666666672</v>
      </c>
      <c r="T223" s="3">
        <v>17557.355567832241</v>
      </c>
      <c r="U223" s="3">
        <v>16093.000000000002</v>
      </c>
      <c r="V223" s="3">
        <v>13055.504000000001</v>
      </c>
      <c r="W223" s="3">
        <v>0</v>
      </c>
      <c r="X223" s="3">
        <v>-3314.2313047643233</v>
      </c>
      <c r="Y223" s="3">
        <v>9487.3119612901228</v>
      </c>
      <c r="Z223" s="3">
        <v>23941.753381881492</v>
      </c>
      <c r="AA223" s="3">
        <v>-14454.441420591365</v>
      </c>
      <c r="AB223" s="3">
        <v>16500.000000000004</v>
      </c>
      <c r="AC223" s="3">
        <v>0</v>
      </c>
      <c r="AD223" s="3">
        <v>16500.000000000004</v>
      </c>
      <c r="AE223" s="3">
        <v>-1268.6727253556878</v>
      </c>
      <c r="AF223" s="3">
        <v>0</v>
      </c>
      <c r="AG223" s="3">
        <v>-1268.6727253556878</v>
      </c>
      <c r="AH223" s="3">
        <v>-1268.6727253556878</v>
      </c>
      <c r="AI223" s="3">
        <v>91652000</v>
      </c>
      <c r="AJ223" s="3">
        <v>4400.0000000000009</v>
      </c>
    </row>
    <row r="224" spans="1:36" x14ac:dyDescent="0.2">
      <c r="A224" s="3" t="s">
        <v>68</v>
      </c>
      <c r="B224" s="3" t="s">
        <v>69</v>
      </c>
      <c r="C224" s="3" t="s">
        <v>74</v>
      </c>
      <c r="D224" s="3">
        <v>3</v>
      </c>
      <c r="E224" s="3">
        <v>2022</v>
      </c>
      <c r="F224" s="3">
        <v>1</v>
      </c>
      <c r="G224" s="3" t="s">
        <v>39</v>
      </c>
      <c r="H224" s="3" t="s">
        <v>46</v>
      </c>
      <c r="I224" s="5">
        <v>137590434.0856922</v>
      </c>
      <c r="J224" s="3">
        <v>0</v>
      </c>
      <c r="K224" s="3">
        <v>137590434.0856922</v>
      </c>
      <c r="L224" s="3">
        <v>137278908</v>
      </c>
      <c r="M224" s="3">
        <v>311526.08569217491</v>
      </c>
      <c r="N224" s="3">
        <v>203928.76206034294</v>
      </c>
      <c r="O224" s="3">
        <f t="shared" si="4"/>
        <v>0.14821434601575195</v>
      </c>
      <c r="P224" s="3">
        <v>18000.000360000005</v>
      </c>
      <c r="Q224" s="3">
        <v>21153.518522999999</v>
      </c>
      <c r="R224" s="3">
        <v>96297.163784035161</v>
      </c>
      <c r="S224" s="3">
        <v>8125.4250000000011</v>
      </c>
      <c r="T224" s="3">
        <v>10399.793544090211</v>
      </c>
      <c r="U224" s="3">
        <v>31152.608569217497</v>
      </c>
      <c r="V224" s="3">
        <v>18800.252280000001</v>
      </c>
      <c r="W224" s="3">
        <v>0</v>
      </c>
      <c r="X224" s="3">
        <v>107597.32363183204</v>
      </c>
      <c r="Y224" s="3">
        <v>14922.719682605884</v>
      </c>
      <c r="Z224" s="3">
        <v>31807.610484246812</v>
      </c>
      <c r="AA224" s="3">
        <v>-16884.890801640926</v>
      </c>
      <c r="AB224" s="3">
        <v>6750</v>
      </c>
      <c r="AC224" s="3">
        <v>945</v>
      </c>
      <c r="AD224" s="3">
        <v>5805</v>
      </c>
      <c r="AE224" s="3">
        <v>96517.432830191101</v>
      </c>
      <c r="AF224" s="3">
        <v>0</v>
      </c>
      <c r="AG224" s="3">
        <v>96517.432830191101</v>
      </c>
      <c r="AH224" s="3">
        <v>96517.432830191101</v>
      </c>
      <c r="AI224" s="3">
        <v>112482000</v>
      </c>
      <c r="AJ224" s="3">
        <v>-75600.000000000015</v>
      </c>
    </row>
    <row r="225" spans="1:36" x14ac:dyDescent="0.2">
      <c r="A225" s="3" t="s">
        <v>75</v>
      </c>
      <c r="B225" s="3" t="s">
        <v>76</v>
      </c>
      <c r="C225" s="3" t="s">
        <v>77</v>
      </c>
      <c r="D225" s="3">
        <v>1</v>
      </c>
      <c r="E225" s="3">
        <v>2022</v>
      </c>
      <c r="F225" s="3">
        <v>1</v>
      </c>
      <c r="G225" s="3" t="s">
        <v>42</v>
      </c>
      <c r="H225" s="3" t="s">
        <v>46</v>
      </c>
      <c r="I225" s="5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 t="e">
        <f t="shared" si="4"/>
        <v>#DIV/0!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408000</v>
      </c>
    </row>
    <row r="226" spans="1:36" x14ac:dyDescent="0.2">
      <c r="A226" s="3" t="s">
        <v>75</v>
      </c>
      <c r="B226" s="3" t="s">
        <v>76</v>
      </c>
      <c r="C226" s="3" t="s">
        <v>77</v>
      </c>
      <c r="D226" s="3">
        <v>2</v>
      </c>
      <c r="E226" s="3">
        <v>2022</v>
      </c>
      <c r="F226" s="3">
        <v>1</v>
      </c>
      <c r="G226" s="3" t="s">
        <v>42</v>
      </c>
      <c r="H226" s="3" t="s">
        <v>46</v>
      </c>
      <c r="I226" s="5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 t="e">
        <f t="shared" si="4"/>
        <v>#DIV/0!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</row>
    <row r="227" spans="1:36" x14ac:dyDescent="0.2">
      <c r="A227" s="3" t="s">
        <v>75</v>
      </c>
      <c r="B227" s="3" t="s">
        <v>76</v>
      </c>
      <c r="C227" s="3" t="s">
        <v>77</v>
      </c>
      <c r="D227" s="3">
        <v>3</v>
      </c>
      <c r="E227" s="3">
        <v>2022</v>
      </c>
      <c r="F227" s="3">
        <v>1</v>
      </c>
      <c r="G227" s="3" t="s">
        <v>42</v>
      </c>
      <c r="H227" s="3" t="s">
        <v>46</v>
      </c>
      <c r="I227" s="5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 t="e">
        <f t="shared" si="4"/>
        <v>#DIV/0!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</row>
    <row r="228" spans="1:36" x14ac:dyDescent="0.2">
      <c r="A228" s="3" t="s">
        <v>75</v>
      </c>
      <c r="B228" s="3" t="s">
        <v>76</v>
      </c>
      <c r="C228" s="3" t="s">
        <v>77</v>
      </c>
      <c r="D228" s="3">
        <v>3</v>
      </c>
      <c r="E228" s="3">
        <v>2022</v>
      </c>
      <c r="F228" s="3">
        <v>1</v>
      </c>
      <c r="G228" s="3" t="s">
        <v>42</v>
      </c>
      <c r="H228" s="3" t="s">
        <v>46</v>
      </c>
      <c r="I228" s="5">
        <v>337536</v>
      </c>
      <c r="J228" s="3">
        <v>25416</v>
      </c>
      <c r="K228" s="3">
        <v>312120</v>
      </c>
      <c r="L228" s="3">
        <v>202521.60000000001</v>
      </c>
      <c r="M228" s="3">
        <v>109598.39999999999</v>
      </c>
      <c r="N228" s="3">
        <v>112506.936</v>
      </c>
      <c r="O228" s="3">
        <f t="shared" si="4"/>
        <v>36.046051518646678</v>
      </c>
      <c r="P228" s="3">
        <v>24000</v>
      </c>
      <c r="Q228" s="3">
        <v>54663.156000000003</v>
      </c>
      <c r="R228" s="3">
        <v>0</v>
      </c>
      <c r="S228" s="3">
        <v>15606</v>
      </c>
      <c r="T228" s="3">
        <v>2996.0520000000001</v>
      </c>
      <c r="U228" s="3">
        <v>10959.84</v>
      </c>
      <c r="V228" s="3">
        <v>4281.8879999999999</v>
      </c>
      <c r="W228" s="3">
        <v>0</v>
      </c>
      <c r="X228" s="3">
        <v>-2908.5359999999996</v>
      </c>
      <c r="Y228" s="3">
        <v>0</v>
      </c>
      <c r="Z228" s="3">
        <v>2122.1279999999997</v>
      </c>
      <c r="AA228" s="3">
        <v>-2122.1279999999997</v>
      </c>
      <c r="AB228" s="3">
        <v>0</v>
      </c>
      <c r="AC228" s="3">
        <v>0</v>
      </c>
      <c r="AD228" s="3">
        <v>0</v>
      </c>
      <c r="AE228" s="3">
        <v>-5030.6639999999998</v>
      </c>
      <c r="AF228" s="3">
        <v>0</v>
      </c>
      <c r="AG228" s="3">
        <v>-5030.6639999999998</v>
      </c>
      <c r="AH228" s="3">
        <v>-5030.6639999999998</v>
      </c>
      <c r="AI228" s="3">
        <v>120000</v>
      </c>
      <c r="AJ228" s="3">
        <v>190400.00399999996</v>
      </c>
    </row>
    <row r="229" spans="1:36" x14ac:dyDescent="0.2">
      <c r="A229" s="3" t="s">
        <v>75</v>
      </c>
      <c r="B229" s="3" t="s">
        <v>76</v>
      </c>
      <c r="C229" s="3" t="s">
        <v>77</v>
      </c>
      <c r="D229" s="3">
        <v>1</v>
      </c>
      <c r="E229" s="3">
        <v>2022</v>
      </c>
      <c r="F229" s="3">
        <v>1</v>
      </c>
      <c r="G229" s="3" t="s">
        <v>42</v>
      </c>
      <c r="H229" s="3" t="s">
        <v>46</v>
      </c>
      <c r="I229" s="5">
        <v>1598355</v>
      </c>
      <c r="J229" s="3">
        <v>169380.2</v>
      </c>
      <c r="K229" s="3">
        <v>1428974.8</v>
      </c>
      <c r="L229" s="3">
        <v>955845.00000000012</v>
      </c>
      <c r="M229" s="3">
        <v>473129.8000000001</v>
      </c>
      <c r="N229" s="3">
        <v>214415.84999999998</v>
      </c>
      <c r="O229" s="3">
        <f t="shared" si="4"/>
        <v>15.004872724137611</v>
      </c>
      <c r="P229" s="3">
        <v>18333.337</v>
      </c>
      <c r="Q229" s="3">
        <v>56941.643000000004</v>
      </c>
      <c r="R229" s="3">
        <v>0</v>
      </c>
      <c r="S229" s="3">
        <v>85156.445000000007</v>
      </c>
      <c r="T229" s="3">
        <v>2746.3810000000003</v>
      </c>
      <c r="U229" s="3">
        <v>47312.979999999996</v>
      </c>
      <c r="V229" s="3">
        <v>3925.0640000000003</v>
      </c>
      <c r="W229" s="3">
        <v>0</v>
      </c>
      <c r="X229" s="3">
        <v>258713.95000000004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258713.95000000004</v>
      </c>
      <c r="AF229" s="3">
        <v>0</v>
      </c>
      <c r="AG229" s="3">
        <v>258713.95000000004</v>
      </c>
      <c r="AH229" s="3">
        <v>258713.95000000004</v>
      </c>
      <c r="AI229" s="3">
        <v>1584000</v>
      </c>
      <c r="AJ229" s="3">
        <v>209440</v>
      </c>
    </row>
    <row r="230" spans="1:36" x14ac:dyDescent="0.2">
      <c r="A230" s="3" t="s">
        <v>75</v>
      </c>
      <c r="B230" s="3" t="s">
        <v>76</v>
      </c>
      <c r="C230" s="3" t="s">
        <v>77</v>
      </c>
      <c r="D230" s="3">
        <v>2</v>
      </c>
      <c r="E230" s="3">
        <v>2022</v>
      </c>
      <c r="F230" s="3">
        <v>1</v>
      </c>
      <c r="G230" s="3" t="s">
        <v>42</v>
      </c>
      <c r="H230" s="3" t="s">
        <v>46</v>
      </c>
      <c r="I230" s="5">
        <v>2269876</v>
      </c>
      <c r="J230" s="3">
        <v>47516</v>
      </c>
      <c r="K230" s="3">
        <v>2222360</v>
      </c>
      <c r="L230" s="3">
        <v>1361925.6</v>
      </c>
      <c r="M230" s="3">
        <v>860434.4</v>
      </c>
      <c r="N230" s="3">
        <v>395282.66399999999</v>
      </c>
      <c r="O230" s="3">
        <f t="shared" si="4"/>
        <v>17.786617109739193</v>
      </c>
      <c r="P230" s="3">
        <v>56000</v>
      </c>
      <c r="Q230" s="3">
        <v>127547.36399999997</v>
      </c>
      <c r="R230" s="3">
        <v>0</v>
      </c>
      <c r="S230" s="3">
        <v>111118</v>
      </c>
      <c r="T230" s="3">
        <v>6990.7879999999986</v>
      </c>
      <c r="U230" s="3">
        <v>83635.44</v>
      </c>
      <c r="V230" s="3">
        <v>9991.0720000000001</v>
      </c>
      <c r="W230" s="3">
        <v>0</v>
      </c>
      <c r="X230" s="3">
        <v>465151.73599999992</v>
      </c>
      <c r="Y230" s="3">
        <v>0</v>
      </c>
      <c r="Z230" s="3">
        <v>7566.9439999999986</v>
      </c>
      <c r="AA230" s="3">
        <v>-7566.9439999999986</v>
      </c>
      <c r="AB230" s="3">
        <v>0</v>
      </c>
      <c r="AC230" s="3">
        <v>0</v>
      </c>
      <c r="AD230" s="3">
        <v>0</v>
      </c>
      <c r="AE230" s="3">
        <v>457584.79199999996</v>
      </c>
      <c r="AF230" s="3">
        <v>0</v>
      </c>
      <c r="AG230" s="3">
        <v>457584.79199999996</v>
      </c>
      <c r="AH230" s="3">
        <v>457584.79199999996</v>
      </c>
      <c r="AI230" s="3">
        <v>1960000</v>
      </c>
      <c r="AJ230" s="3">
        <v>444266.67599999992</v>
      </c>
    </row>
    <row r="231" spans="1:36" x14ac:dyDescent="0.2">
      <c r="A231" s="3" t="s">
        <v>75</v>
      </c>
      <c r="B231" s="3" t="s">
        <v>76</v>
      </c>
      <c r="C231" s="3" t="s">
        <v>77</v>
      </c>
      <c r="D231" s="3">
        <v>3</v>
      </c>
      <c r="E231" s="3">
        <v>2022</v>
      </c>
      <c r="F231" s="3">
        <v>1</v>
      </c>
      <c r="G231" s="3" t="s">
        <v>48</v>
      </c>
      <c r="H231" s="3" t="s">
        <v>46</v>
      </c>
      <c r="I231" s="5">
        <v>4781925.21</v>
      </c>
      <c r="J231" s="3">
        <v>260057.85</v>
      </c>
      <c r="K231" s="3">
        <v>4521867.3599999994</v>
      </c>
      <c r="L231" s="3">
        <v>3091888.75</v>
      </c>
      <c r="M231" s="3">
        <v>1429978.61</v>
      </c>
      <c r="N231" s="3">
        <v>2656714.2638575761</v>
      </c>
      <c r="O231" s="3">
        <f t="shared" si="4"/>
        <v>58.752591625278818</v>
      </c>
      <c r="P231" s="3">
        <v>360000</v>
      </c>
      <c r="Q231" s="3">
        <v>294915.09999999998</v>
      </c>
      <c r="R231" s="3">
        <v>1099339.9000000001</v>
      </c>
      <c r="S231" s="3">
        <v>22280.54</v>
      </c>
      <c r="T231" s="3">
        <v>455802.85785757669</v>
      </c>
      <c r="U231" s="3">
        <v>132454.736</v>
      </c>
      <c r="V231" s="3">
        <v>291921.13</v>
      </c>
      <c r="W231" s="3">
        <v>0</v>
      </c>
      <c r="X231" s="3">
        <v>-1226735.6538575767</v>
      </c>
      <c r="Y231" s="3">
        <v>174.08999999999997</v>
      </c>
      <c r="Z231" s="3">
        <v>346276.3</v>
      </c>
      <c r="AA231" s="3">
        <v>-346102.20999999996</v>
      </c>
      <c r="AB231" s="3">
        <v>28800</v>
      </c>
      <c r="AC231" s="3">
        <v>3148</v>
      </c>
      <c r="AD231" s="3">
        <v>25652</v>
      </c>
      <c r="AE231" s="3">
        <v>-1547185.8638575766</v>
      </c>
      <c r="AF231" s="3">
        <v>0</v>
      </c>
      <c r="AG231" s="3">
        <v>-1547185.8638575766</v>
      </c>
      <c r="AH231" s="3">
        <v>-1547185.8638575766</v>
      </c>
      <c r="AI231" s="3">
        <v>8888333.333333334</v>
      </c>
      <c r="AJ231" s="3">
        <v>60000.000000000597</v>
      </c>
    </row>
    <row r="232" spans="1:36" x14ac:dyDescent="0.2">
      <c r="A232" s="3" t="s">
        <v>75</v>
      </c>
      <c r="B232" s="3" t="s">
        <v>76</v>
      </c>
      <c r="C232" s="3" t="s">
        <v>77</v>
      </c>
      <c r="D232" s="3">
        <v>2</v>
      </c>
      <c r="E232" s="3">
        <v>2022</v>
      </c>
      <c r="F232" s="3">
        <v>1</v>
      </c>
      <c r="G232" s="3" t="s">
        <v>48</v>
      </c>
      <c r="H232" s="3" t="s">
        <v>46</v>
      </c>
      <c r="I232" s="5">
        <v>6222937.4879999999</v>
      </c>
      <c r="J232" s="3">
        <v>197735.08799999999</v>
      </c>
      <c r="K232" s="3">
        <v>6025202.4000000004</v>
      </c>
      <c r="L232" s="3">
        <v>3894560.1720000003</v>
      </c>
      <c r="M232" s="3">
        <v>2130642.2280000001</v>
      </c>
      <c r="N232" s="3">
        <v>2960447.5271999999</v>
      </c>
      <c r="O232" s="3">
        <f t="shared" si="4"/>
        <v>49.134407952834906</v>
      </c>
      <c r="P232" s="3">
        <v>432000</v>
      </c>
      <c r="Q232" s="3">
        <v>353898.12</v>
      </c>
      <c r="R232" s="3">
        <v>1286439.6671999998</v>
      </c>
      <c r="S232" s="3">
        <v>24100.884000000002</v>
      </c>
      <c r="T232" s="3">
        <v>340940.49599999998</v>
      </c>
      <c r="U232" s="3">
        <v>164721.84000000003</v>
      </c>
      <c r="V232" s="3">
        <v>358346.52</v>
      </c>
      <c r="W232" s="3">
        <v>0</v>
      </c>
      <c r="X232" s="3">
        <v>-829805.29919999989</v>
      </c>
      <c r="Y232" s="3">
        <v>405.12</v>
      </c>
      <c r="Z232" s="3">
        <v>390727.57199999993</v>
      </c>
      <c r="AA232" s="3">
        <v>-390322.45199999999</v>
      </c>
      <c r="AB232" s="3">
        <v>34560</v>
      </c>
      <c r="AC232" s="3">
        <v>3777.6</v>
      </c>
      <c r="AD232" s="3">
        <v>30782.399999999998</v>
      </c>
      <c r="AE232" s="3">
        <v>-1189345.3511999999</v>
      </c>
      <c r="AF232" s="3">
        <v>0</v>
      </c>
      <c r="AG232" s="3">
        <v>-1189345.3511999999</v>
      </c>
      <c r="AH232" s="3">
        <v>-1189345.3511999999</v>
      </c>
      <c r="AI232" s="3">
        <v>10666000</v>
      </c>
      <c r="AJ232" s="3">
        <v>-1440000</v>
      </c>
    </row>
    <row r="233" spans="1:36" x14ac:dyDescent="0.2">
      <c r="A233" s="3" t="s">
        <v>75</v>
      </c>
      <c r="B233" s="3" t="s">
        <v>76</v>
      </c>
      <c r="C233" s="3" t="s">
        <v>77</v>
      </c>
      <c r="D233" s="3">
        <v>1</v>
      </c>
      <c r="E233" s="3">
        <v>2022</v>
      </c>
      <c r="F233" s="3">
        <v>1</v>
      </c>
      <c r="G233" s="3" t="s">
        <v>48</v>
      </c>
      <c r="H233" s="3" t="s">
        <v>46</v>
      </c>
      <c r="I233" s="5">
        <v>19134500</v>
      </c>
      <c r="J233" s="3">
        <v>679225</v>
      </c>
      <c r="K233" s="3">
        <v>18455275</v>
      </c>
      <c r="L233" s="3">
        <v>11641740.725</v>
      </c>
      <c r="M233" s="3">
        <v>6813534.2750000004</v>
      </c>
      <c r="N233" s="3">
        <v>9451388.9695227966</v>
      </c>
      <c r="O233" s="3">
        <f t="shared" si="4"/>
        <v>51.212398458016992</v>
      </c>
      <c r="P233" s="3">
        <v>900000</v>
      </c>
      <c r="Q233" s="3">
        <v>762850.25</v>
      </c>
      <c r="R233" s="3">
        <v>4648305.125</v>
      </c>
      <c r="S233" s="3">
        <v>462878.72499999998</v>
      </c>
      <c r="T233" s="3">
        <v>1278156.2945227958</v>
      </c>
      <c r="U233" s="3">
        <v>512200</v>
      </c>
      <c r="V233" s="3">
        <v>886998.57499999995</v>
      </c>
      <c r="W233" s="3">
        <v>0</v>
      </c>
      <c r="X233" s="3">
        <v>-2637854.6945227953</v>
      </c>
      <c r="Y233" s="3">
        <v>345.97499999999997</v>
      </c>
      <c r="Z233" s="3">
        <v>877747.125</v>
      </c>
      <c r="AA233" s="3">
        <v>-877401.15</v>
      </c>
      <c r="AB233" s="3">
        <v>56375</v>
      </c>
      <c r="AC233" s="3">
        <v>0</v>
      </c>
      <c r="AD233" s="3">
        <v>56375</v>
      </c>
      <c r="AE233" s="3">
        <v>-3458880.8445227947</v>
      </c>
      <c r="AF233" s="3">
        <v>0</v>
      </c>
      <c r="AG233" s="3">
        <v>-3458880.8445227947</v>
      </c>
      <c r="AH233" s="3">
        <v>-3458880.8445227947</v>
      </c>
      <c r="AI233" s="3">
        <v>22220833.333333336</v>
      </c>
      <c r="AJ233" s="3">
        <v>0</v>
      </c>
    </row>
    <row r="234" spans="1:36" x14ac:dyDescent="0.2">
      <c r="A234" s="3" t="s">
        <v>75</v>
      </c>
      <c r="B234" s="3" t="s">
        <v>76</v>
      </c>
      <c r="C234" s="3" t="s">
        <v>77</v>
      </c>
      <c r="D234" s="3">
        <v>3</v>
      </c>
      <c r="E234" s="3">
        <v>2022</v>
      </c>
      <c r="F234" s="3">
        <v>1</v>
      </c>
      <c r="G234" s="3" t="s">
        <v>39</v>
      </c>
      <c r="H234" s="3" t="s">
        <v>46</v>
      </c>
      <c r="I234" s="5">
        <v>51797403.548097134</v>
      </c>
      <c r="J234" s="3">
        <v>0</v>
      </c>
      <c r="K234" s="3">
        <v>51797403.548097134</v>
      </c>
      <c r="L234" s="3">
        <v>51724330</v>
      </c>
      <c r="M234" s="3">
        <v>73073.548097133636</v>
      </c>
      <c r="N234" s="3">
        <v>236403.51060933206</v>
      </c>
      <c r="O234" s="3">
        <f t="shared" si="4"/>
        <v>0.45640031047080692</v>
      </c>
      <c r="P234" s="3">
        <v>30000</v>
      </c>
      <c r="Q234" s="3">
        <v>24501.93</v>
      </c>
      <c r="R234" s="3">
        <v>105066.72500000001</v>
      </c>
      <c r="S234" s="3">
        <v>4600</v>
      </c>
      <c r="T234" s="3">
        <v>35515.445609332077</v>
      </c>
      <c r="U234" s="3">
        <v>0</v>
      </c>
      <c r="V234" s="3">
        <v>36719.409999999996</v>
      </c>
      <c r="W234" s="3">
        <v>0</v>
      </c>
      <c r="X234" s="3">
        <v>-163329.96251219843</v>
      </c>
      <c r="Y234" s="3">
        <v>0</v>
      </c>
      <c r="Z234" s="3">
        <v>0</v>
      </c>
      <c r="AA234" s="3">
        <v>0</v>
      </c>
      <c r="AB234" s="3">
        <v>3500</v>
      </c>
      <c r="AC234" s="3">
        <v>2000</v>
      </c>
      <c r="AD234" s="3">
        <v>1500</v>
      </c>
      <c r="AE234" s="3">
        <v>-161829.96251219843</v>
      </c>
      <c r="AF234" s="3">
        <v>0</v>
      </c>
      <c r="AG234" s="3">
        <v>-161829.96251219843</v>
      </c>
      <c r="AH234" s="3">
        <v>-161829.96251219843</v>
      </c>
      <c r="AI234" s="3">
        <v>40000000</v>
      </c>
      <c r="AJ234" s="3">
        <v>-122627.73722627737</v>
      </c>
    </row>
    <row r="235" spans="1:36" x14ac:dyDescent="0.2">
      <c r="A235" s="3" t="s">
        <v>75</v>
      </c>
      <c r="B235" s="3" t="s">
        <v>76</v>
      </c>
      <c r="C235" s="3" t="s">
        <v>77</v>
      </c>
      <c r="D235" s="3">
        <v>1</v>
      </c>
      <c r="E235" s="3">
        <v>2022</v>
      </c>
      <c r="F235" s="3">
        <v>1</v>
      </c>
      <c r="G235" s="3" t="s">
        <v>39</v>
      </c>
      <c r="H235" s="3" t="s">
        <v>46</v>
      </c>
      <c r="I235" s="5">
        <v>205822650</v>
      </c>
      <c r="J235" s="3">
        <v>0</v>
      </c>
      <c r="K235" s="3">
        <v>205822650</v>
      </c>
      <c r="L235" s="3">
        <v>205699812.5</v>
      </c>
      <c r="M235" s="3">
        <v>122837.5</v>
      </c>
      <c r="N235" s="3">
        <v>864370.41249999998</v>
      </c>
      <c r="O235" s="3">
        <f t="shared" si="4"/>
        <v>0.41995883956406155</v>
      </c>
      <c r="P235" s="3">
        <v>20833.325000000001</v>
      </c>
      <c r="Q235" s="3">
        <v>63317.324999999997</v>
      </c>
      <c r="R235" s="3">
        <v>447672.6875</v>
      </c>
      <c r="S235" s="3">
        <v>0</v>
      </c>
      <c r="T235" s="3">
        <v>179217.67500000002</v>
      </c>
      <c r="U235" s="3">
        <v>0</v>
      </c>
      <c r="V235" s="3">
        <v>153329.4</v>
      </c>
      <c r="W235" s="3">
        <v>0</v>
      </c>
      <c r="X235" s="3">
        <v>-741532.91249999998</v>
      </c>
      <c r="Y235" s="3">
        <v>0</v>
      </c>
      <c r="Z235" s="3">
        <v>0</v>
      </c>
      <c r="AA235" s="3">
        <v>0</v>
      </c>
      <c r="AB235" s="3">
        <v>11500</v>
      </c>
      <c r="AC235" s="3">
        <v>5000</v>
      </c>
      <c r="AD235" s="3">
        <v>6500</v>
      </c>
      <c r="AE235" s="3">
        <v>-735032.91249999998</v>
      </c>
      <c r="AF235" s="3">
        <v>0</v>
      </c>
      <c r="AG235" s="3">
        <v>-735032.91249999998</v>
      </c>
      <c r="AH235" s="3">
        <v>-735032.91249999998</v>
      </c>
      <c r="AI235" s="3">
        <v>200000000</v>
      </c>
      <c r="AJ235" s="3">
        <v>0</v>
      </c>
    </row>
    <row r="236" spans="1:36" x14ac:dyDescent="0.2">
      <c r="A236" s="3" t="s">
        <v>75</v>
      </c>
      <c r="B236" s="3" t="s">
        <v>76</v>
      </c>
      <c r="C236" s="3" t="s">
        <v>77</v>
      </c>
      <c r="D236" s="3">
        <v>2</v>
      </c>
      <c r="E236" s="3">
        <v>2022</v>
      </c>
      <c r="F236" s="3">
        <v>1</v>
      </c>
      <c r="G236" s="3" t="s">
        <v>39</v>
      </c>
      <c r="H236" s="3" t="s">
        <v>46</v>
      </c>
      <c r="I236" s="5">
        <v>238693643.77500001</v>
      </c>
      <c r="J236" s="3">
        <v>0</v>
      </c>
      <c r="K236" s="3">
        <v>238693643.77500001</v>
      </c>
      <c r="L236" s="3">
        <v>238484485.51599997</v>
      </c>
      <c r="M236" s="3">
        <v>209158.25899999999</v>
      </c>
      <c r="N236" s="3">
        <v>629444.61290000007</v>
      </c>
      <c r="O236" s="3">
        <f t="shared" si="4"/>
        <v>0.26370396921559169</v>
      </c>
      <c r="P236" s="3">
        <v>85000</v>
      </c>
      <c r="Q236" s="3">
        <v>1788.5529999999999</v>
      </c>
      <c r="R236" s="3">
        <v>457751.79539999994</v>
      </c>
      <c r="S236" s="3">
        <v>10074.965</v>
      </c>
      <c r="T236" s="3">
        <v>0</v>
      </c>
      <c r="U236" s="3">
        <v>35266.304499999998</v>
      </c>
      <c r="V236" s="3">
        <v>39562.995000000003</v>
      </c>
      <c r="W236" s="3">
        <v>0</v>
      </c>
      <c r="X236" s="3">
        <v>-420286.35390000005</v>
      </c>
      <c r="Y236" s="3">
        <v>3819.6109999999999</v>
      </c>
      <c r="Z236" s="3">
        <v>0</v>
      </c>
      <c r="AA236" s="3">
        <v>3819.6109999999999</v>
      </c>
      <c r="AB236" s="3">
        <v>81175</v>
      </c>
      <c r="AC236" s="3">
        <v>16830</v>
      </c>
      <c r="AD236" s="3">
        <v>64345</v>
      </c>
      <c r="AE236" s="3">
        <v>-352121.74290000007</v>
      </c>
      <c r="AF236" s="3">
        <v>0</v>
      </c>
      <c r="AG236" s="3">
        <v>-352121.74290000007</v>
      </c>
      <c r="AH236" s="3">
        <v>-352121.74290000007</v>
      </c>
      <c r="AI236" s="3">
        <v>221000000</v>
      </c>
      <c r="AJ236" s="3">
        <v>-312700.72992700728</v>
      </c>
    </row>
    <row r="237" spans="1:36" x14ac:dyDescent="0.2">
      <c r="A237" s="3" t="s">
        <v>75</v>
      </c>
      <c r="B237" s="3" t="s">
        <v>76</v>
      </c>
      <c r="C237" s="3" t="s">
        <v>77</v>
      </c>
      <c r="D237" s="3">
        <v>2</v>
      </c>
      <c r="E237" s="3">
        <v>2022</v>
      </c>
      <c r="F237" s="3">
        <v>1</v>
      </c>
      <c r="G237" s="3" t="s">
        <v>39</v>
      </c>
      <c r="H237" s="3" t="s">
        <v>46</v>
      </c>
      <c r="I237" s="5">
        <v>328016408.87024283</v>
      </c>
      <c r="J237" s="3">
        <v>0</v>
      </c>
      <c r="K237" s="3">
        <v>328016408.87024283</v>
      </c>
      <c r="L237" s="3">
        <v>327662637.5</v>
      </c>
      <c r="M237" s="3">
        <v>353771.37024283409</v>
      </c>
      <c r="N237" s="3">
        <v>646110.01</v>
      </c>
      <c r="O237" s="3">
        <f t="shared" si="4"/>
        <v>0.19697490507421203</v>
      </c>
      <c r="P237" s="3">
        <v>75000</v>
      </c>
      <c r="Q237" s="3">
        <v>61254.824999999997</v>
      </c>
      <c r="R237" s="3">
        <v>261376.88500000007</v>
      </c>
      <c r="S237" s="3">
        <v>0</v>
      </c>
      <c r="T237" s="3">
        <v>163550.47500000001</v>
      </c>
      <c r="U237" s="3">
        <v>0</v>
      </c>
      <c r="V237" s="3">
        <v>84927.824999999997</v>
      </c>
      <c r="W237" s="3">
        <v>0</v>
      </c>
      <c r="X237" s="3">
        <v>-292338.63975716598</v>
      </c>
      <c r="Y237" s="3">
        <v>0</v>
      </c>
      <c r="Z237" s="3">
        <v>0</v>
      </c>
      <c r="AA237" s="3">
        <v>0</v>
      </c>
      <c r="AB237" s="3">
        <v>18500</v>
      </c>
      <c r="AC237" s="3">
        <v>5000</v>
      </c>
      <c r="AD237" s="3">
        <v>13500</v>
      </c>
      <c r="AE237" s="3">
        <v>-278838.63975716598</v>
      </c>
      <c r="AF237" s="3">
        <v>0</v>
      </c>
      <c r="AG237" s="3">
        <v>-278838.63975716598</v>
      </c>
      <c r="AH237" s="3">
        <v>-278838.63975716598</v>
      </c>
      <c r="AI237" s="3">
        <v>300000000</v>
      </c>
      <c r="AJ237" s="3">
        <v>-306569.34306569345</v>
      </c>
    </row>
    <row r="238" spans="1:36" x14ac:dyDescent="0.2">
      <c r="A238" s="3" t="s">
        <v>75</v>
      </c>
      <c r="B238" s="3" t="s">
        <v>76</v>
      </c>
      <c r="C238" s="3" t="s">
        <v>77</v>
      </c>
      <c r="D238" s="3">
        <v>3</v>
      </c>
      <c r="E238" s="3">
        <v>2022</v>
      </c>
      <c r="F238" s="3">
        <v>1</v>
      </c>
      <c r="G238" s="3" t="s">
        <v>39</v>
      </c>
      <c r="H238" s="3" t="s">
        <v>46</v>
      </c>
      <c r="I238" s="5">
        <v>896864238.62699997</v>
      </c>
      <c r="J238" s="3">
        <v>0</v>
      </c>
      <c r="K238" s="3">
        <v>896864238.62699997</v>
      </c>
      <c r="L238" s="3">
        <v>896331141.63600016</v>
      </c>
      <c r="M238" s="3">
        <v>533096.99099999992</v>
      </c>
      <c r="N238" s="3">
        <v>765039.65369999595</v>
      </c>
      <c r="O238" s="3">
        <f t="shared" si="4"/>
        <v>8.5301612078009389E-2</v>
      </c>
      <c r="P238" s="3">
        <v>105000</v>
      </c>
      <c r="Q238" s="3">
        <v>21109.389000000003</v>
      </c>
      <c r="R238" s="3">
        <v>526892.46750000003</v>
      </c>
      <c r="S238" s="3">
        <v>7245</v>
      </c>
      <c r="T238" s="3">
        <v>4851</v>
      </c>
      <c r="U238" s="3">
        <v>58057.696199995997</v>
      </c>
      <c r="V238" s="3">
        <v>41884.101000000002</v>
      </c>
      <c r="W238" s="3">
        <v>0</v>
      </c>
      <c r="X238" s="3">
        <v>-231942.662699996</v>
      </c>
      <c r="Y238" s="3">
        <v>2108.3370000000004</v>
      </c>
      <c r="Z238" s="3">
        <v>0</v>
      </c>
      <c r="AA238" s="3">
        <v>2108.3370000000004</v>
      </c>
      <c r="AB238" s="3">
        <v>100275</v>
      </c>
      <c r="AC238" s="3">
        <v>20790</v>
      </c>
      <c r="AD238" s="3">
        <v>79485</v>
      </c>
      <c r="AE238" s="3">
        <v>-150349.325699996</v>
      </c>
      <c r="AF238" s="3">
        <v>0</v>
      </c>
      <c r="AG238" s="3">
        <v>-150349.325699996</v>
      </c>
      <c r="AH238" s="3">
        <v>-150349.325699996</v>
      </c>
      <c r="AI238" s="3">
        <v>861000000</v>
      </c>
      <c r="AJ238" s="3">
        <v>-386277.37226277369</v>
      </c>
    </row>
    <row r="239" spans="1:36" x14ac:dyDescent="0.2">
      <c r="A239" s="3" t="s">
        <v>75</v>
      </c>
      <c r="B239" s="3" t="s">
        <v>76</v>
      </c>
      <c r="C239" s="3" t="s">
        <v>77</v>
      </c>
      <c r="D239" s="3">
        <v>1</v>
      </c>
      <c r="E239" s="3">
        <v>2022</v>
      </c>
      <c r="F239" s="3">
        <v>1</v>
      </c>
      <c r="G239" s="3" t="s">
        <v>39</v>
      </c>
      <c r="H239" s="3" t="s">
        <v>46</v>
      </c>
      <c r="I239" s="5">
        <v>1038186314.7039999</v>
      </c>
      <c r="J239" s="3">
        <v>0</v>
      </c>
      <c r="K239" s="3">
        <v>1038186314.7039999</v>
      </c>
      <c r="L239" s="3">
        <v>1037746539.0320001</v>
      </c>
      <c r="M239" s="3">
        <v>439775.67199999996</v>
      </c>
      <c r="N239" s="3">
        <v>1452756.102</v>
      </c>
      <c r="O239" s="3">
        <f t="shared" si="4"/>
        <v>0.13993211829364166</v>
      </c>
      <c r="P239" s="3">
        <v>140000</v>
      </c>
      <c r="Q239" s="3">
        <v>28145.851999999995</v>
      </c>
      <c r="R239" s="3">
        <v>1140964.23</v>
      </c>
      <c r="S239" s="3">
        <v>16594.059999999998</v>
      </c>
      <c r="T239" s="3">
        <v>0</v>
      </c>
      <c r="U239" s="3">
        <v>40562.508000000002</v>
      </c>
      <c r="V239" s="3">
        <v>86489.452000000005</v>
      </c>
      <c r="W239" s="3">
        <v>0</v>
      </c>
      <c r="X239" s="3">
        <v>-1012980.43</v>
      </c>
      <c r="Y239" s="3">
        <v>12.04</v>
      </c>
      <c r="Z239" s="3">
        <v>0</v>
      </c>
      <c r="AA239" s="3">
        <v>12.04</v>
      </c>
      <c r="AB239" s="3">
        <v>26040</v>
      </c>
      <c r="AC239" s="3">
        <v>27720</v>
      </c>
      <c r="AD239" s="3">
        <v>-1680</v>
      </c>
      <c r="AE239" s="3">
        <v>-1014648.3900000001</v>
      </c>
      <c r="AF239" s="3">
        <v>0</v>
      </c>
      <c r="AG239" s="3">
        <v>-1014648.3900000001</v>
      </c>
      <c r="AH239" s="3">
        <v>-1014648.3900000001</v>
      </c>
      <c r="AI239" s="3">
        <v>1036000000</v>
      </c>
      <c r="AJ239" s="3">
        <v>0</v>
      </c>
    </row>
    <row r="240" spans="1:36" x14ac:dyDescent="0.2">
      <c r="A240" s="3" t="s">
        <v>75</v>
      </c>
      <c r="B240" s="3" t="s">
        <v>78</v>
      </c>
      <c r="C240" s="3" t="s">
        <v>79</v>
      </c>
      <c r="D240" s="3">
        <v>2</v>
      </c>
      <c r="E240" s="3">
        <v>2022</v>
      </c>
      <c r="F240" s="3">
        <v>1</v>
      </c>
      <c r="G240" s="3" t="s">
        <v>48</v>
      </c>
      <c r="H240" s="3" t="s">
        <v>46</v>
      </c>
      <c r="I240" s="5">
        <v>0</v>
      </c>
      <c r="J240" s="3">
        <v>0</v>
      </c>
      <c r="K240" s="3">
        <v>0</v>
      </c>
      <c r="L240" s="3">
        <v>0</v>
      </c>
      <c r="M240" s="3">
        <v>0</v>
      </c>
      <c r="N240" s="3">
        <v>2447771.5328478306</v>
      </c>
      <c r="O240" s="3" t="e">
        <f t="shared" si="4"/>
        <v>#DIV/0!</v>
      </c>
      <c r="P240" s="3">
        <v>1017549.621</v>
      </c>
      <c r="Q240" s="3">
        <v>371473.34400000004</v>
      </c>
      <c r="R240" s="3">
        <v>1056943.6470000001</v>
      </c>
      <c r="S240" s="3">
        <v>0</v>
      </c>
      <c r="T240" s="3">
        <v>1804.9208478305513</v>
      </c>
      <c r="U240" s="3">
        <v>0</v>
      </c>
      <c r="V240" s="3">
        <v>0</v>
      </c>
      <c r="W240" s="3">
        <v>0</v>
      </c>
      <c r="X240" s="3">
        <v>-2447771.5328478306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-2447771.5328478306</v>
      </c>
      <c r="AF240" s="3">
        <v>0</v>
      </c>
      <c r="AG240" s="3">
        <v>-2447771.5328478306</v>
      </c>
      <c r="AH240" s="3">
        <v>-2447771.5328478306</v>
      </c>
      <c r="AI240" s="3">
        <v>0</v>
      </c>
      <c r="AJ240" s="3">
        <v>0</v>
      </c>
    </row>
    <row r="241" spans="1:36" x14ac:dyDescent="0.2">
      <c r="A241" s="3" t="s">
        <v>75</v>
      </c>
      <c r="B241" s="3" t="s">
        <v>78</v>
      </c>
      <c r="C241" s="3" t="s">
        <v>79</v>
      </c>
      <c r="D241" s="3">
        <v>2</v>
      </c>
      <c r="E241" s="3">
        <v>2022</v>
      </c>
      <c r="F241" s="3">
        <v>1</v>
      </c>
      <c r="G241" s="3" t="s">
        <v>39</v>
      </c>
      <c r="H241" s="3" t="s">
        <v>46</v>
      </c>
      <c r="I241" s="5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 t="e">
        <f t="shared" si="4"/>
        <v>#DIV/0!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</row>
    <row r="242" spans="1:36" x14ac:dyDescent="0.2">
      <c r="A242" s="3" t="s">
        <v>75</v>
      </c>
      <c r="B242" s="3" t="s">
        <v>78</v>
      </c>
      <c r="C242" s="3" t="s">
        <v>79</v>
      </c>
      <c r="D242" s="3">
        <v>3</v>
      </c>
      <c r="E242" s="3">
        <v>2022</v>
      </c>
      <c r="F242" s="3">
        <v>1</v>
      </c>
      <c r="G242" s="3" t="s">
        <v>48</v>
      </c>
      <c r="H242" s="3" t="s">
        <v>46</v>
      </c>
      <c r="I242" s="5">
        <v>0</v>
      </c>
      <c r="J242" s="3">
        <v>0</v>
      </c>
      <c r="K242" s="3">
        <v>0</v>
      </c>
      <c r="L242" s="3">
        <v>0</v>
      </c>
      <c r="M242" s="3">
        <v>0</v>
      </c>
      <c r="N242" s="3">
        <v>792049.14</v>
      </c>
      <c r="O242" s="3" t="e">
        <f t="shared" si="4"/>
        <v>#DIV/0!</v>
      </c>
      <c r="P242" s="3">
        <v>430717.51800000004</v>
      </c>
      <c r="Q242" s="3">
        <v>247648.89600000001</v>
      </c>
      <c r="R242" s="3">
        <v>113682.726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-792049.14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-792049.14</v>
      </c>
      <c r="AF242" s="3">
        <v>0</v>
      </c>
      <c r="AG242" s="3">
        <v>-792049.14</v>
      </c>
      <c r="AH242" s="3">
        <v>-792049.14</v>
      </c>
      <c r="AI242" s="3">
        <v>0</v>
      </c>
      <c r="AJ242" s="3">
        <v>0</v>
      </c>
    </row>
    <row r="243" spans="1:36" x14ac:dyDescent="0.2">
      <c r="A243" s="3" t="s">
        <v>75</v>
      </c>
      <c r="B243" s="3" t="s">
        <v>78</v>
      </c>
      <c r="C243" s="3" t="s">
        <v>79</v>
      </c>
      <c r="D243" s="3">
        <v>3</v>
      </c>
      <c r="E243" s="3">
        <v>2022</v>
      </c>
      <c r="F243" s="3">
        <v>1</v>
      </c>
      <c r="G243" s="3" t="s">
        <v>39</v>
      </c>
      <c r="H243" s="3" t="s">
        <v>46</v>
      </c>
      <c r="I243" s="5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 t="e">
        <f t="shared" si="4"/>
        <v>#DIV/0!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</row>
    <row r="244" spans="1:36" x14ac:dyDescent="0.2">
      <c r="A244" s="3" t="s">
        <v>75</v>
      </c>
      <c r="B244" s="3" t="s">
        <v>78</v>
      </c>
      <c r="C244" s="3" t="s">
        <v>79</v>
      </c>
      <c r="D244" s="3">
        <v>1</v>
      </c>
      <c r="E244" s="3">
        <v>2022</v>
      </c>
      <c r="F244" s="3">
        <v>1</v>
      </c>
      <c r="G244" s="3" t="s">
        <v>39</v>
      </c>
      <c r="H244" s="3" t="s">
        <v>46</v>
      </c>
      <c r="I244" s="5">
        <v>351456</v>
      </c>
      <c r="J244" s="3">
        <v>0</v>
      </c>
      <c r="K244" s="3">
        <v>351456</v>
      </c>
      <c r="L244" s="3">
        <v>351360</v>
      </c>
      <c r="M244" s="3">
        <v>96</v>
      </c>
      <c r="N244" s="3">
        <v>9.6</v>
      </c>
      <c r="O244" s="3">
        <f t="shared" si="4"/>
        <v>2.7314941272876263E-3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9.6</v>
      </c>
      <c r="V244" s="3">
        <v>0</v>
      </c>
      <c r="W244" s="3">
        <v>0</v>
      </c>
      <c r="X244" s="3">
        <v>86.4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86.4</v>
      </c>
      <c r="AF244" s="3">
        <v>0</v>
      </c>
      <c r="AG244" s="3">
        <v>86.4</v>
      </c>
      <c r="AH244" s="3">
        <v>86.4</v>
      </c>
      <c r="AI244" s="3">
        <v>0</v>
      </c>
      <c r="AJ244" s="3">
        <v>0</v>
      </c>
    </row>
    <row r="245" spans="1:36" x14ac:dyDescent="0.2">
      <c r="A245" s="3" t="s">
        <v>75</v>
      </c>
      <c r="B245" s="3" t="s">
        <v>78</v>
      </c>
      <c r="C245" s="3" t="s">
        <v>79</v>
      </c>
      <c r="D245" s="3">
        <v>1</v>
      </c>
      <c r="E245" s="3">
        <v>2022</v>
      </c>
      <c r="F245" s="3">
        <v>1</v>
      </c>
      <c r="G245" s="3" t="s">
        <v>48</v>
      </c>
      <c r="H245" s="3" t="s">
        <v>46</v>
      </c>
      <c r="I245" s="5">
        <v>569646</v>
      </c>
      <c r="J245" s="3">
        <v>17730</v>
      </c>
      <c r="K245" s="3">
        <v>551916</v>
      </c>
      <c r="L245" s="3">
        <v>263520</v>
      </c>
      <c r="M245" s="3">
        <v>288396</v>
      </c>
      <c r="N245" s="3">
        <v>1706465.6728571677</v>
      </c>
      <c r="O245" s="3">
        <f t="shared" si="4"/>
        <v>309.18938259756334</v>
      </c>
      <c r="P245" s="3">
        <v>678366.41400000011</v>
      </c>
      <c r="Q245" s="3">
        <v>247648.89600000001</v>
      </c>
      <c r="R245" s="3">
        <v>734869.098</v>
      </c>
      <c r="S245" s="3">
        <v>0</v>
      </c>
      <c r="T245" s="3">
        <v>16741.664857167456</v>
      </c>
      <c r="U245" s="3">
        <v>28839.599999999999</v>
      </c>
      <c r="V245" s="3">
        <v>0</v>
      </c>
      <c r="W245" s="3">
        <v>0</v>
      </c>
      <c r="X245" s="3">
        <v>-1418069.6728571677</v>
      </c>
      <c r="Y245" s="3">
        <v>111.6</v>
      </c>
      <c r="Z245" s="3">
        <v>128268.45</v>
      </c>
      <c r="AA245" s="3">
        <v>-128156.84999999999</v>
      </c>
      <c r="AB245" s="3">
        <v>0</v>
      </c>
      <c r="AC245" s="3">
        <v>0</v>
      </c>
      <c r="AD245" s="3">
        <v>0</v>
      </c>
      <c r="AE245" s="3">
        <v>-1546226.5228571675</v>
      </c>
      <c r="AF245" s="3">
        <v>0</v>
      </c>
      <c r="AG245" s="3">
        <v>-1546226.5228571675</v>
      </c>
      <c r="AH245" s="3">
        <v>-1546226.5228571675</v>
      </c>
      <c r="AI245" s="3">
        <v>8199000</v>
      </c>
      <c r="AJ245" s="3">
        <v>0</v>
      </c>
    </row>
    <row r="246" spans="1:36" x14ac:dyDescent="0.2">
      <c r="A246" s="3" t="s">
        <v>75</v>
      </c>
      <c r="B246" s="3" t="s">
        <v>78</v>
      </c>
      <c r="C246" s="3" t="s">
        <v>80</v>
      </c>
      <c r="D246" s="3">
        <v>1</v>
      </c>
      <c r="E246" s="3">
        <v>2022</v>
      </c>
      <c r="F246" s="3">
        <v>1</v>
      </c>
      <c r="G246" s="3" t="s">
        <v>42</v>
      </c>
      <c r="H246" s="3" t="s">
        <v>46</v>
      </c>
      <c r="I246" s="5">
        <v>0</v>
      </c>
      <c r="J246" s="3">
        <v>0</v>
      </c>
      <c r="K246" s="3">
        <v>0</v>
      </c>
      <c r="L246" s="3">
        <v>0</v>
      </c>
      <c r="M246" s="3">
        <v>0</v>
      </c>
      <c r="N246" s="3">
        <v>168146.82</v>
      </c>
      <c r="O246" s="3" t="e">
        <f t="shared" si="4"/>
        <v>#DIV/0!</v>
      </c>
      <c r="P246" s="3">
        <v>129600</v>
      </c>
      <c r="Q246" s="3">
        <v>0</v>
      </c>
      <c r="R246" s="3">
        <v>38546.82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-168146.82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-168146.82</v>
      </c>
      <c r="AF246" s="3">
        <v>0</v>
      </c>
      <c r="AG246" s="3">
        <v>-168146.82</v>
      </c>
      <c r="AH246" s="3">
        <v>-168146.82</v>
      </c>
      <c r="AI246" s="3">
        <v>0</v>
      </c>
      <c r="AJ246" s="3">
        <v>0</v>
      </c>
    </row>
    <row r="247" spans="1:36" x14ac:dyDescent="0.2">
      <c r="A247" s="3" t="s">
        <v>75</v>
      </c>
      <c r="B247" s="3" t="s">
        <v>78</v>
      </c>
      <c r="C247" s="3" t="s">
        <v>80</v>
      </c>
      <c r="D247" s="3">
        <v>1</v>
      </c>
      <c r="E247" s="3">
        <v>2022</v>
      </c>
      <c r="F247" s="3">
        <v>1</v>
      </c>
      <c r="G247" s="3" t="s">
        <v>48</v>
      </c>
      <c r="H247" s="3" t="s">
        <v>46</v>
      </c>
      <c r="I247" s="5">
        <v>0</v>
      </c>
      <c r="J247" s="3">
        <v>0</v>
      </c>
      <c r="K247" s="3">
        <v>0</v>
      </c>
      <c r="L247" s="3">
        <v>0</v>
      </c>
      <c r="M247" s="3">
        <v>0</v>
      </c>
      <c r="N247" s="3">
        <v>629628.402</v>
      </c>
      <c r="O247" s="3" t="e">
        <f t="shared" si="4"/>
        <v>#DIV/0!</v>
      </c>
      <c r="P247" s="3">
        <v>405600</v>
      </c>
      <c r="Q247" s="3">
        <v>0</v>
      </c>
      <c r="R247" s="3">
        <v>224028.402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-629628.402</v>
      </c>
      <c r="Y247" s="3">
        <v>0</v>
      </c>
      <c r="Z247" s="3">
        <v>2166.6710000000003</v>
      </c>
      <c r="AA247" s="3">
        <v>-2166.6710000000003</v>
      </c>
      <c r="AB247" s="3">
        <v>0</v>
      </c>
      <c r="AC247" s="3">
        <v>0</v>
      </c>
      <c r="AD247" s="3">
        <v>0</v>
      </c>
      <c r="AE247" s="3">
        <v>-631795.07300000009</v>
      </c>
      <c r="AF247" s="3">
        <v>0</v>
      </c>
      <c r="AG247" s="3">
        <v>-631795.07300000009</v>
      </c>
      <c r="AH247" s="3">
        <v>-631795.07300000009</v>
      </c>
      <c r="AI247" s="3">
        <v>0</v>
      </c>
      <c r="AJ247" s="3">
        <v>0</v>
      </c>
    </row>
    <row r="248" spans="1:36" x14ac:dyDescent="0.2">
      <c r="A248" s="3" t="s">
        <v>75</v>
      </c>
      <c r="B248" s="3" t="s">
        <v>78</v>
      </c>
      <c r="C248" s="3" t="s">
        <v>80</v>
      </c>
      <c r="D248" s="3">
        <v>1</v>
      </c>
      <c r="E248" s="3">
        <v>2022</v>
      </c>
      <c r="F248" s="3">
        <v>1</v>
      </c>
      <c r="G248" s="3" t="s">
        <v>39</v>
      </c>
      <c r="H248" s="3" t="s">
        <v>46</v>
      </c>
      <c r="I248" s="5">
        <v>0</v>
      </c>
      <c r="J248" s="3">
        <v>0</v>
      </c>
      <c r="K248" s="3">
        <v>0</v>
      </c>
      <c r="L248" s="3">
        <v>0</v>
      </c>
      <c r="M248" s="3">
        <v>0</v>
      </c>
      <c r="N248" s="3">
        <v>106220.14499999999</v>
      </c>
      <c r="O248" s="3" t="e">
        <f t="shared" si="4"/>
        <v>#DIV/0!</v>
      </c>
      <c r="P248" s="3">
        <v>54000</v>
      </c>
      <c r="Q248" s="3">
        <v>0</v>
      </c>
      <c r="R248" s="3">
        <v>52220.145000000004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-106220.14499999999</v>
      </c>
      <c r="Y248" s="3">
        <v>0</v>
      </c>
      <c r="Z248" s="3">
        <v>2499.9899999999998</v>
      </c>
      <c r="AA248" s="3">
        <v>-2499.9899999999998</v>
      </c>
      <c r="AB248" s="3">
        <v>0</v>
      </c>
      <c r="AC248" s="3">
        <v>0</v>
      </c>
      <c r="AD248" s="3">
        <v>0</v>
      </c>
      <c r="AE248" s="3">
        <v>-108720.13499999999</v>
      </c>
      <c r="AF248" s="3">
        <v>0</v>
      </c>
      <c r="AG248" s="3">
        <v>-108720.13499999999</v>
      </c>
      <c r="AH248" s="3">
        <v>-108720.13499999999</v>
      </c>
      <c r="AI248" s="3">
        <v>0</v>
      </c>
      <c r="AJ248" s="3">
        <v>0</v>
      </c>
    </row>
    <row r="249" spans="1:36" x14ac:dyDescent="0.2">
      <c r="A249" s="3" t="s">
        <v>75</v>
      </c>
      <c r="B249" s="3" t="s">
        <v>78</v>
      </c>
      <c r="C249" s="3" t="s">
        <v>80</v>
      </c>
      <c r="D249" s="3">
        <v>2</v>
      </c>
      <c r="E249" s="3">
        <v>2022</v>
      </c>
      <c r="F249" s="3">
        <v>1</v>
      </c>
      <c r="G249" s="3" t="s">
        <v>42</v>
      </c>
      <c r="H249" s="3" t="s">
        <v>46</v>
      </c>
      <c r="I249" s="5">
        <v>172873</v>
      </c>
      <c r="J249" s="3">
        <v>13205.599999999999</v>
      </c>
      <c r="K249" s="3">
        <v>159667.4</v>
      </c>
      <c r="L249" s="3">
        <v>103723.79999999999</v>
      </c>
      <c r="M249" s="3">
        <v>55943.6</v>
      </c>
      <c r="N249" s="3">
        <v>95354.36</v>
      </c>
      <c r="O249" s="3">
        <f t="shared" si="4"/>
        <v>59.720619237239411</v>
      </c>
      <c r="P249" s="3">
        <v>89760</v>
      </c>
      <c r="Q249" s="3">
        <v>0</v>
      </c>
      <c r="R249" s="3">
        <v>0</v>
      </c>
      <c r="S249" s="3">
        <v>0</v>
      </c>
      <c r="T249" s="3">
        <v>0</v>
      </c>
      <c r="U249" s="3">
        <v>5594.3600000000006</v>
      </c>
      <c r="V249" s="3">
        <v>0</v>
      </c>
      <c r="W249" s="3">
        <v>0</v>
      </c>
      <c r="X249" s="3">
        <v>-39410.76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-39410.76</v>
      </c>
      <c r="AF249" s="3">
        <v>0</v>
      </c>
      <c r="AG249" s="3">
        <v>-39410.76</v>
      </c>
      <c r="AH249" s="3">
        <v>-39410.76</v>
      </c>
      <c r="AI249" s="3">
        <v>0</v>
      </c>
      <c r="AJ249" s="3">
        <v>0</v>
      </c>
    </row>
    <row r="250" spans="1:36" x14ac:dyDescent="0.2">
      <c r="A250" s="3" t="s">
        <v>75</v>
      </c>
      <c r="B250" s="3" t="s">
        <v>78</v>
      </c>
      <c r="C250" s="3" t="s">
        <v>80</v>
      </c>
      <c r="D250" s="3">
        <v>3</v>
      </c>
      <c r="E250" s="3">
        <v>2022</v>
      </c>
      <c r="F250" s="3">
        <v>1</v>
      </c>
      <c r="G250" s="3" t="s">
        <v>42</v>
      </c>
      <c r="H250" s="3" t="s">
        <v>46</v>
      </c>
      <c r="I250" s="5">
        <v>197664</v>
      </c>
      <c r="J250" s="3">
        <v>19865</v>
      </c>
      <c r="K250" s="3">
        <v>177799</v>
      </c>
      <c r="L250" s="3">
        <v>118598.39999999999</v>
      </c>
      <c r="M250" s="3">
        <v>59200.600000000006</v>
      </c>
      <c r="N250" s="3">
        <v>159040.06</v>
      </c>
      <c r="O250" s="3">
        <f t="shared" si="4"/>
        <v>89.449355733159351</v>
      </c>
      <c r="P250" s="3">
        <v>153120</v>
      </c>
      <c r="Q250" s="3">
        <v>0</v>
      </c>
      <c r="R250" s="3">
        <v>0</v>
      </c>
      <c r="S250" s="3">
        <v>0</v>
      </c>
      <c r="T250" s="3">
        <v>0</v>
      </c>
      <c r="U250" s="3">
        <v>5920.0599999999995</v>
      </c>
      <c r="V250" s="3">
        <v>0</v>
      </c>
      <c r="W250" s="3">
        <v>0</v>
      </c>
      <c r="X250" s="3">
        <v>-99839.459999999992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-99839.459999999992</v>
      </c>
      <c r="AF250" s="3">
        <v>0</v>
      </c>
      <c r="AG250" s="3">
        <v>-99839.459999999992</v>
      </c>
      <c r="AH250" s="3">
        <v>-99839.459999999992</v>
      </c>
      <c r="AI250" s="3">
        <v>0</v>
      </c>
      <c r="AJ250" s="3">
        <v>0</v>
      </c>
    </row>
    <row r="251" spans="1:36" x14ac:dyDescent="0.2">
      <c r="A251" s="3" t="s">
        <v>75</v>
      </c>
      <c r="B251" s="3" t="s">
        <v>78</v>
      </c>
      <c r="C251" s="3" t="s">
        <v>80</v>
      </c>
      <c r="D251" s="3">
        <v>2</v>
      </c>
      <c r="E251" s="3">
        <v>2022</v>
      </c>
      <c r="F251" s="3">
        <v>1</v>
      </c>
      <c r="G251" s="3" t="s">
        <v>48</v>
      </c>
      <c r="H251" s="3" t="s">
        <v>46</v>
      </c>
      <c r="I251" s="5">
        <v>5606832</v>
      </c>
      <c r="J251" s="3">
        <v>410886</v>
      </c>
      <c r="K251" s="3">
        <v>5195946</v>
      </c>
      <c r="L251" s="3">
        <v>3493425.7260000003</v>
      </c>
      <c r="M251" s="3">
        <v>1702520.274</v>
      </c>
      <c r="N251" s="3">
        <v>1171415.8344000001</v>
      </c>
      <c r="O251" s="3">
        <f t="shared" si="4"/>
        <v>22.544803860548203</v>
      </c>
      <c r="P251" s="3">
        <v>705600</v>
      </c>
      <c r="Q251" s="3">
        <v>0</v>
      </c>
      <c r="R251" s="3">
        <v>295563.80700000003</v>
      </c>
      <c r="S251" s="3">
        <v>0</v>
      </c>
      <c r="T251" s="3">
        <v>0</v>
      </c>
      <c r="U251" s="3">
        <v>170252.02740000002</v>
      </c>
      <c r="V251" s="3">
        <v>0</v>
      </c>
      <c r="W251" s="3">
        <v>0</v>
      </c>
      <c r="X251" s="3">
        <v>531104.43960000016</v>
      </c>
      <c r="Y251" s="3">
        <v>0</v>
      </c>
      <c r="Z251" s="3">
        <v>3500.0070000000001</v>
      </c>
      <c r="AA251" s="3">
        <v>-3500.0070000000001</v>
      </c>
      <c r="AB251" s="3">
        <v>0</v>
      </c>
      <c r="AC251" s="3">
        <v>0</v>
      </c>
      <c r="AD251" s="3">
        <v>0</v>
      </c>
      <c r="AE251" s="3">
        <v>527604.43260000006</v>
      </c>
      <c r="AF251" s="3">
        <v>0</v>
      </c>
      <c r="AG251" s="3">
        <v>527604.43260000006</v>
      </c>
      <c r="AH251" s="3">
        <v>527604.43260000006</v>
      </c>
      <c r="AI251" s="3">
        <v>9565500</v>
      </c>
      <c r="AJ251" s="3">
        <v>0</v>
      </c>
    </row>
    <row r="252" spans="1:36" x14ac:dyDescent="0.2">
      <c r="A252" s="3" t="s">
        <v>75</v>
      </c>
      <c r="B252" s="3" t="s">
        <v>78</v>
      </c>
      <c r="C252" s="3" t="s">
        <v>80</v>
      </c>
      <c r="D252" s="3">
        <v>3</v>
      </c>
      <c r="E252" s="3">
        <v>2022</v>
      </c>
      <c r="F252" s="3">
        <v>1</v>
      </c>
      <c r="G252" s="3" t="s">
        <v>39</v>
      </c>
      <c r="H252" s="3" t="s">
        <v>46</v>
      </c>
      <c r="I252" s="5">
        <v>9203524.0000000019</v>
      </c>
      <c r="J252" s="3">
        <v>0</v>
      </c>
      <c r="K252" s="3">
        <v>9203524.0000000019</v>
      </c>
      <c r="L252" s="3">
        <v>9199938.0000000019</v>
      </c>
      <c r="M252" s="3">
        <v>3586</v>
      </c>
      <c r="N252" s="3">
        <v>352236.85200000001</v>
      </c>
      <c r="O252" s="3">
        <f t="shared" si="4"/>
        <v>3.8271954525244887</v>
      </c>
      <c r="P252" s="3">
        <v>42240</v>
      </c>
      <c r="Q252" s="3">
        <v>0</v>
      </c>
      <c r="R252" s="3">
        <v>309638.25200000004</v>
      </c>
      <c r="S252" s="3">
        <v>0</v>
      </c>
      <c r="T252" s="3">
        <v>0</v>
      </c>
      <c r="U252" s="3">
        <v>358.6</v>
      </c>
      <c r="V252" s="3">
        <v>0</v>
      </c>
      <c r="W252" s="3">
        <v>0</v>
      </c>
      <c r="X252" s="3">
        <v>-348650.85200000001</v>
      </c>
      <c r="Y252" s="3">
        <v>0</v>
      </c>
      <c r="Z252" s="3">
        <v>3666.652</v>
      </c>
      <c r="AA252" s="3">
        <v>-3666.652</v>
      </c>
      <c r="AB252" s="3">
        <v>0</v>
      </c>
      <c r="AC252" s="3">
        <v>0</v>
      </c>
      <c r="AD252" s="3">
        <v>0</v>
      </c>
      <c r="AE252" s="3">
        <v>-352317.50400000007</v>
      </c>
      <c r="AF252" s="3">
        <v>0</v>
      </c>
      <c r="AG252" s="3">
        <v>-352317.50400000007</v>
      </c>
      <c r="AH252" s="3">
        <v>-352317.50400000007</v>
      </c>
      <c r="AI252" s="3">
        <v>0</v>
      </c>
      <c r="AJ252" s="3">
        <v>0</v>
      </c>
    </row>
    <row r="253" spans="1:36" x14ac:dyDescent="0.2">
      <c r="A253" s="3" t="s">
        <v>75</v>
      </c>
      <c r="B253" s="3" t="s">
        <v>78</v>
      </c>
      <c r="C253" s="3" t="s">
        <v>80</v>
      </c>
      <c r="D253" s="3">
        <v>3</v>
      </c>
      <c r="E253" s="3">
        <v>2022</v>
      </c>
      <c r="F253" s="3">
        <v>1</v>
      </c>
      <c r="G253" s="3" t="s">
        <v>48</v>
      </c>
      <c r="H253" s="3" t="s">
        <v>46</v>
      </c>
      <c r="I253" s="5">
        <v>9328140</v>
      </c>
      <c r="J253" s="3">
        <v>595180</v>
      </c>
      <c r="K253" s="3">
        <v>8732960</v>
      </c>
      <c r="L253" s="3">
        <v>6183777.5</v>
      </c>
      <c r="M253" s="3">
        <v>2549182.5</v>
      </c>
      <c r="N253" s="3">
        <v>1865013.4700000002</v>
      </c>
      <c r="O253" s="3">
        <f t="shared" si="4"/>
        <v>21.356028998186186</v>
      </c>
      <c r="P253" s="3">
        <v>672000</v>
      </c>
      <c r="Q253" s="3">
        <v>0</v>
      </c>
      <c r="R253" s="3">
        <v>938095.22</v>
      </c>
      <c r="S253" s="3">
        <v>0</v>
      </c>
      <c r="T253" s="3">
        <v>0</v>
      </c>
      <c r="U253" s="3">
        <v>254918.25</v>
      </c>
      <c r="V253" s="3">
        <v>0</v>
      </c>
      <c r="W253" s="3">
        <v>0</v>
      </c>
      <c r="X253" s="3">
        <v>684169.03</v>
      </c>
      <c r="Y253" s="3">
        <v>0</v>
      </c>
      <c r="Z253" s="3">
        <v>444009.83999999997</v>
      </c>
      <c r="AA253" s="3">
        <v>-444009.83999999997</v>
      </c>
      <c r="AB253" s="3">
        <v>0</v>
      </c>
      <c r="AC253" s="3">
        <v>0</v>
      </c>
      <c r="AD253" s="3">
        <v>0</v>
      </c>
      <c r="AE253" s="3">
        <v>240159.19</v>
      </c>
      <c r="AF253" s="3">
        <v>0</v>
      </c>
      <c r="AG253" s="3">
        <v>240159.19</v>
      </c>
      <c r="AH253" s="3">
        <v>240159.19</v>
      </c>
      <c r="AI253" s="3">
        <v>9110000</v>
      </c>
      <c r="AJ253" s="3">
        <v>0</v>
      </c>
    </row>
    <row r="254" spans="1:36" x14ac:dyDescent="0.2">
      <c r="A254" s="3" t="s">
        <v>75</v>
      </c>
      <c r="B254" s="3" t="s">
        <v>78</v>
      </c>
      <c r="C254" s="3" t="s">
        <v>80</v>
      </c>
      <c r="D254" s="3">
        <v>2</v>
      </c>
      <c r="E254" s="3">
        <v>2022</v>
      </c>
      <c r="F254" s="3">
        <v>1</v>
      </c>
      <c r="G254" s="3" t="s">
        <v>39</v>
      </c>
      <c r="H254" s="3" t="s">
        <v>46</v>
      </c>
      <c r="I254" s="5">
        <v>13957332</v>
      </c>
      <c r="J254" s="3">
        <v>0</v>
      </c>
      <c r="K254" s="3">
        <v>13957332</v>
      </c>
      <c r="L254" s="3">
        <v>13952688</v>
      </c>
      <c r="M254" s="3">
        <v>4644</v>
      </c>
      <c r="N254" s="3">
        <v>192397.99199999997</v>
      </c>
      <c r="O254" s="3">
        <f t="shared" si="4"/>
        <v>1.3784725619480855</v>
      </c>
      <c r="P254" s="3">
        <v>23040</v>
      </c>
      <c r="Q254" s="3">
        <v>0</v>
      </c>
      <c r="R254" s="3">
        <v>168893.592</v>
      </c>
      <c r="S254" s="3">
        <v>0</v>
      </c>
      <c r="T254" s="3">
        <v>0</v>
      </c>
      <c r="U254" s="3">
        <v>464.4</v>
      </c>
      <c r="V254" s="3">
        <v>0</v>
      </c>
      <c r="W254" s="3">
        <v>0</v>
      </c>
      <c r="X254" s="3">
        <v>-187753.992</v>
      </c>
      <c r="Y254" s="3">
        <v>0</v>
      </c>
      <c r="Z254" s="3">
        <v>1999.9919999999997</v>
      </c>
      <c r="AA254" s="3">
        <v>-1999.9919999999997</v>
      </c>
      <c r="AB254" s="3">
        <v>0</v>
      </c>
      <c r="AC254" s="3">
        <v>0</v>
      </c>
      <c r="AD254" s="3">
        <v>0</v>
      </c>
      <c r="AE254" s="3">
        <v>-189753.984</v>
      </c>
      <c r="AF254" s="3">
        <v>0</v>
      </c>
      <c r="AG254" s="3">
        <v>-189753.984</v>
      </c>
      <c r="AH254" s="3">
        <v>-189753.984</v>
      </c>
      <c r="AI254" s="3">
        <v>0</v>
      </c>
      <c r="AJ254" s="3">
        <v>0</v>
      </c>
    </row>
    <row r="255" spans="1:36" x14ac:dyDescent="0.2">
      <c r="A255" s="3" t="s">
        <v>75</v>
      </c>
      <c r="B255" s="3" t="s">
        <v>81</v>
      </c>
      <c r="C255" s="3" t="s">
        <v>82</v>
      </c>
      <c r="D255" s="3">
        <v>1</v>
      </c>
      <c r="E255" s="3">
        <v>2022</v>
      </c>
      <c r="F255" s="3">
        <v>1</v>
      </c>
      <c r="G255" s="3" t="s">
        <v>42</v>
      </c>
      <c r="H255" s="3" t="s">
        <v>46</v>
      </c>
      <c r="I255" s="5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 t="e">
        <f t="shared" si="4"/>
        <v>#DIV/0!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</row>
    <row r="256" spans="1:36" x14ac:dyDescent="0.2">
      <c r="A256" s="3" t="s">
        <v>75</v>
      </c>
      <c r="B256" s="3" t="s">
        <v>81</v>
      </c>
      <c r="C256" s="3" t="s">
        <v>82</v>
      </c>
      <c r="D256" s="3">
        <v>1</v>
      </c>
      <c r="E256" s="3">
        <v>2022</v>
      </c>
      <c r="F256" s="3">
        <v>1</v>
      </c>
      <c r="G256" s="3" t="s">
        <v>39</v>
      </c>
      <c r="H256" s="3" t="s">
        <v>46</v>
      </c>
      <c r="I256" s="5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 t="e">
        <f t="shared" si="4"/>
        <v>#DIV/0!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</row>
    <row r="257" spans="1:36" x14ac:dyDescent="0.2">
      <c r="A257" s="3" t="s">
        <v>75</v>
      </c>
      <c r="B257" s="3" t="s">
        <v>81</v>
      </c>
      <c r="C257" s="3" t="s">
        <v>82</v>
      </c>
      <c r="D257" s="3">
        <v>2</v>
      </c>
      <c r="E257" s="3">
        <v>2022</v>
      </c>
      <c r="F257" s="3">
        <v>1</v>
      </c>
      <c r="G257" s="3" t="s">
        <v>42</v>
      </c>
      <c r="H257" s="3" t="s">
        <v>46</v>
      </c>
      <c r="I257" s="5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 t="e">
        <f t="shared" si="4"/>
        <v>#DIV/0!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</row>
    <row r="258" spans="1:36" x14ac:dyDescent="0.2">
      <c r="A258" s="3" t="s">
        <v>75</v>
      </c>
      <c r="B258" s="3" t="s">
        <v>81</v>
      </c>
      <c r="C258" s="3" t="s">
        <v>82</v>
      </c>
      <c r="D258" s="3">
        <v>2</v>
      </c>
      <c r="E258" s="3">
        <v>2022</v>
      </c>
      <c r="F258" s="3">
        <v>1</v>
      </c>
      <c r="G258" s="3" t="s">
        <v>39</v>
      </c>
      <c r="H258" s="3" t="s">
        <v>46</v>
      </c>
      <c r="I258" s="5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 t="e">
        <f t="shared" si="4"/>
        <v>#DIV/0!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</row>
    <row r="259" spans="1:36" x14ac:dyDescent="0.2">
      <c r="A259" s="3" t="s">
        <v>75</v>
      </c>
      <c r="B259" s="3" t="s">
        <v>81</v>
      </c>
      <c r="C259" s="3" t="s">
        <v>82</v>
      </c>
      <c r="D259" s="3">
        <v>3</v>
      </c>
      <c r="E259" s="3">
        <v>2022</v>
      </c>
      <c r="F259" s="3">
        <v>1</v>
      </c>
      <c r="G259" s="3" t="s">
        <v>42</v>
      </c>
      <c r="H259" s="3" t="s">
        <v>46</v>
      </c>
      <c r="I259" s="5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 t="e">
        <f t="shared" si="4"/>
        <v>#DIV/0!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</row>
    <row r="260" spans="1:36" x14ac:dyDescent="0.2">
      <c r="A260" s="3" t="s">
        <v>75</v>
      </c>
      <c r="B260" s="3" t="s">
        <v>81</v>
      </c>
      <c r="C260" s="3" t="s">
        <v>82</v>
      </c>
      <c r="D260" s="3">
        <v>3</v>
      </c>
      <c r="E260" s="3">
        <v>2022</v>
      </c>
      <c r="F260" s="3">
        <v>1</v>
      </c>
      <c r="G260" s="3" t="s">
        <v>39</v>
      </c>
      <c r="H260" s="3" t="s">
        <v>46</v>
      </c>
      <c r="I260" s="5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 t="e">
        <f t="shared" si="4"/>
        <v>#DIV/0!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</row>
    <row r="261" spans="1:36" x14ac:dyDescent="0.2">
      <c r="A261" s="3" t="s">
        <v>75</v>
      </c>
      <c r="B261" s="3" t="s">
        <v>81</v>
      </c>
      <c r="C261" s="3" t="s">
        <v>82</v>
      </c>
      <c r="D261" s="3">
        <v>3</v>
      </c>
      <c r="E261" s="3">
        <v>2022</v>
      </c>
      <c r="F261" s="3">
        <v>1</v>
      </c>
      <c r="G261" s="3" t="s">
        <v>48</v>
      </c>
      <c r="H261" s="3" t="s">
        <v>46</v>
      </c>
      <c r="I261" s="5">
        <v>108376</v>
      </c>
      <c r="J261" s="3">
        <v>3838</v>
      </c>
      <c r="K261" s="3">
        <v>104538</v>
      </c>
      <c r="L261" s="3">
        <v>77098.428</v>
      </c>
      <c r="M261" s="3">
        <v>27439.572</v>
      </c>
      <c r="N261" s="3">
        <v>1598286.9350000001</v>
      </c>
      <c r="O261" s="3">
        <f t="shared" si="4"/>
        <v>1528.9052162849873</v>
      </c>
      <c r="P261" s="3">
        <v>381062.17600000004</v>
      </c>
      <c r="Q261" s="3">
        <v>5399.1729999999998</v>
      </c>
      <c r="R261" s="3">
        <v>766957.78099999996</v>
      </c>
      <c r="S261" s="3">
        <v>0</v>
      </c>
      <c r="T261" s="3">
        <v>9817.7369999999992</v>
      </c>
      <c r="U261" s="3">
        <v>7237.1</v>
      </c>
      <c r="V261" s="3">
        <v>427812.96799999999</v>
      </c>
      <c r="W261" s="3">
        <v>0</v>
      </c>
      <c r="X261" s="3">
        <v>-1570847.3629999999</v>
      </c>
      <c r="Y261" s="3">
        <v>280.95299999999997</v>
      </c>
      <c r="Z261" s="3">
        <v>123674.43899999998</v>
      </c>
      <c r="AA261" s="3">
        <v>-123393.48599999999</v>
      </c>
      <c r="AB261" s="3">
        <v>0</v>
      </c>
      <c r="AC261" s="3">
        <v>0</v>
      </c>
      <c r="AD261" s="3">
        <v>0</v>
      </c>
      <c r="AE261" s="3">
        <v>-1694240.8490000002</v>
      </c>
      <c r="AF261" s="3">
        <v>0</v>
      </c>
      <c r="AG261" s="3">
        <v>-1694240.8490000002</v>
      </c>
      <c r="AH261" s="3">
        <v>-1694240.8490000002</v>
      </c>
      <c r="AI261" s="3">
        <v>0</v>
      </c>
      <c r="AJ261" s="3">
        <v>0</v>
      </c>
    </row>
    <row r="262" spans="1:36" x14ac:dyDescent="0.2">
      <c r="A262" s="3" t="s">
        <v>75</v>
      </c>
      <c r="B262" s="3" t="s">
        <v>81</v>
      </c>
      <c r="C262" s="3" t="s">
        <v>82</v>
      </c>
      <c r="D262" s="3">
        <v>1</v>
      </c>
      <c r="E262" s="3">
        <v>2022</v>
      </c>
      <c r="F262" s="3">
        <v>1</v>
      </c>
      <c r="G262" s="3" t="s">
        <v>48</v>
      </c>
      <c r="H262" s="3" t="s">
        <v>46</v>
      </c>
      <c r="I262" s="5">
        <v>174222</v>
      </c>
      <c r="J262" s="3">
        <v>0</v>
      </c>
      <c r="K262" s="3">
        <v>174222</v>
      </c>
      <c r="L262" s="3">
        <v>93215.898000000016</v>
      </c>
      <c r="M262" s="3">
        <v>81006.101999999999</v>
      </c>
      <c r="N262" s="3">
        <v>1515860.1540000001</v>
      </c>
      <c r="O262" s="3">
        <f t="shared" si="4"/>
        <v>870.07390226263044</v>
      </c>
      <c r="P262" s="3">
        <v>361006.272</v>
      </c>
      <c r="Q262" s="3">
        <v>5115.0060000000003</v>
      </c>
      <c r="R262" s="3">
        <v>726591.58200000005</v>
      </c>
      <c r="S262" s="3">
        <v>0</v>
      </c>
      <c r="T262" s="3">
        <v>10994.598000000002</v>
      </c>
      <c r="U262" s="3">
        <v>6856.2</v>
      </c>
      <c r="V262" s="3">
        <v>405296.49600000004</v>
      </c>
      <c r="W262" s="3">
        <v>0</v>
      </c>
      <c r="X262" s="3">
        <v>-1434854.0520000001</v>
      </c>
      <c r="Y262" s="3">
        <v>266.166</v>
      </c>
      <c r="Z262" s="3">
        <v>117165.25800000002</v>
      </c>
      <c r="AA262" s="3">
        <v>-116899.09200000002</v>
      </c>
      <c r="AB262" s="3">
        <v>0</v>
      </c>
      <c r="AC262" s="3">
        <v>0</v>
      </c>
      <c r="AD262" s="3">
        <v>0</v>
      </c>
      <c r="AE262" s="3">
        <v>-1551753.1440000001</v>
      </c>
      <c r="AF262" s="3">
        <v>0</v>
      </c>
      <c r="AG262" s="3">
        <v>-1551753.1440000001</v>
      </c>
      <c r="AH262" s="3">
        <v>-1551753.1440000001</v>
      </c>
      <c r="AI262" s="3">
        <v>0</v>
      </c>
      <c r="AJ262" s="3">
        <v>0</v>
      </c>
    </row>
    <row r="263" spans="1:36" x14ac:dyDescent="0.2">
      <c r="A263" s="3" t="s">
        <v>75</v>
      </c>
      <c r="B263" s="3" t="s">
        <v>81</v>
      </c>
      <c r="C263" s="3" t="s">
        <v>82</v>
      </c>
      <c r="D263" s="3">
        <v>2</v>
      </c>
      <c r="E263" s="3">
        <v>2022</v>
      </c>
      <c r="F263" s="3">
        <v>1</v>
      </c>
      <c r="G263" s="3" t="s">
        <v>48</v>
      </c>
      <c r="H263" s="3" t="s">
        <v>46</v>
      </c>
      <c r="I263" s="5">
        <v>208095</v>
      </c>
      <c r="J263" s="3">
        <v>0</v>
      </c>
      <c r="K263" s="3">
        <v>208095</v>
      </c>
      <c r="L263" s="3">
        <v>114899.80499999999</v>
      </c>
      <c r="M263" s="3">
        <v>93195.195000000007</v>
      </c>
      <c r="N263" s="3">
        <v>969394.64999999991</v>
      </c>
      <c r="O263" s="3">
        <f t="shared" si="4"/>
        <v>465.84235565486915</v>
      </c>
      <c r="P263" s="3">
        <v>300838.56</v>
      </c>
      <c r="Q263" s="3">
        <v>4262.5050000000001</v>
      </c>
      <c r="R263" s="3">
        <v>308347.5</v>
      </c>
      <c r="S263" s="3">
        <v>3323.34</v>
      </c>
      <c r="T263" s="3">
        <v>9162.1650000000009</v>
      </c>
      <c r="U263" s="3">
        <v>5713.5</v>
      </c>
      <c r="V263" s="3">
        <v>337747.07999999996</v>
      </c>
      <c r="W263" s="3">
        <v>0</v>
      </c>
      <c r="X263" s="3">
        <v>-876199.45500000007</v>
      </c>
      <c r="Y263" s="3">
        <v>221.80499999999998</v>
      </c>
      <c r="Z263" s="3">
        <v>97637.715000000011</v>
      </c>
      <c r="AA263" s="3">
        <v>-97415.91</v>
      </c>
      <c r="AB263" s="3">
        <v>0</v>
      </c>
      <c r="AC263" s="3">
        <v>0</v>
      </c>
      <c r="AD263" s="3">
        <v>0</v>
      </c>
      <c r="AE263" s="3">
        <v>-973615.36499999999</v>
      </c>
      <c r="AF263" s="3">
        <v>0</v>
      </c>
      <c r="AG263" s="3">
        <v>-973615.36499999999</v>
      </c>
      <c r="AH263" s="3">
        <v>-973615.36499999999</v>
      </c>
      <c r="AI263" s="3">
        <v>0</v>
      </c>
      <c r="AJ263" s="3">
        <v>0</v>
      </c>
    </row>
    <row r="264" spans="1:36" x14ac:dyDescent="0.2">
      <c r="A264" s="3" t="s">
        <v>75</v>
      </c>
      <c r="B264" s="3" t="s">
        <v>83</v>
      </c>
      <c r="C264" s="3" t="s">
        <v>84</v>
      </c>
      <c r="D264" s="3">
        <v>1</v>
      </c>
      <c r="E264" s="3">
        <v>2022</v>
      </c>
      <c r="F264" s="3">
        <v>1</v>
      </c>
      <c r="G264" s="3" t="s">
        <v>42</v>
      </c>
      <c r="H264" s="3" t="s">
        <v>40</v>
      </c>
      <c r="I264" s="5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 t="e">
        <f t="shared" si="4"/>
        <v>#DIV/0!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</row>
    <row r="265" spans="1:36" x14ac:dyDescent="0.2">
      <c r="A265" s="3" t="s">
        <v>75</v>
      </c>
      <c r="B265" s="3" t="s">
        <v>83</v>
      </c>
      <c r="C265" s="3" t="s">
        <v>84</v>
      </c>
      <c r="D265" s="3">
        <v>1</v>
      </c>
      <c r="E265" s="3">
        <v>2022</v>
      </c>
      <c r="F265" s="3">
        <v>1</v>
      </c>
      <c r="G265" s="3" t="s">
        <v>39</v>
      </c>
      <c r="H265" s="3" t="s">
        <v>40</v>
      </c>
      <c r="I265" s="5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 t="e">
        <f t="shared" si="4"/>
        <v>#DIV/0!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</row>
    <row r="266" spans="1:36" x14ac:dyDescent="0.2">
      <c r="A266" s="3" t="s">
        <v>75</v>
      </c>
      <c r="B266" s="3" t="s">
        <v>83</v>
      </c>
      <c r="C266" s="3" t="s">
        <v>84</v>
      </c>
      <c r="D266" s="3">
        <v>2</v>
      </c>
      <c r="E266" s="3">
        <v>2022</v>
      </c>
      <c r="F266" s="3">
        <v>1</v>
      </c>
      <c r="G266" s="3" t="s">
        <v>42</v>
      </c>
      <c r="H266" s="3" t="s">
        <v>40</v>
      </c>
      <c r="I266" s="5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 t="e">
        <f t="shared" si="4"/>
        <v>#DIV/0!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</row>
    <row r="267" spans="1:36" x14ac:dyDescent="0.2">
      <c r="A267" s="3" t="s">
        <v>75</v>
      </c>
      <c r="B267" s="3" t="s">
        <v>83</v>
      </c>
      <c r="C267" s="3" t="s">
        <v>84</v>
      </c>
      <c r="D267" s="3">
        <v>2</v>
      </c>
      <c r="E267" s="3">
        <v>2022</v>
      </c>
      <c r="F267" s="3">
        <v>1</v>
      </c>
      <c r="G267" s="3" t="s">
        <v>39</v>
      </c>
      <c r="H267" s="3" t="s">
        <v>40</v>
      </c>
      <c r="I267" s="5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 t="e">
        <f t="shared" si="4"/>
        <v>#DIV/0!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</row>
    <row r="268" spans="1:36" x14ac:dyDescent="0.2">
      <c r="A268" s="3" t="s">
        <v>75</v>
      </c>
      <c r="B268" s="3" t="s">
        <v>83</v>
      </c>
      <c r="C268" s="3" t="s">
        <v>84</v>
      </c>
      <c r="D268" s="3">
        <v>3</v>
      </c>
      <c r="E268" s="3">
        <v>2022</v>
      </c>
      <c r="F268" s="3">
        <v>1</v>
      </c>
      <c r="G268" s="3" t="s">
        <v>42</v>
      </c>
      <c r="H268" s="3" t="s">
        <v>40</v>
      </c>
      <c r="I268" s="5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 t="e">
        <f t="shared" si="4"/>
        <v>#DIV/0!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</row>
    <row r="269" spans="1:36" x14ac:dyDescent="0.2">
      <c r="A269" s="3" t="s">
        <v>75</v>
      </c>
      <c r="B269" s="3" t="s">
        <v>83</v>
      </c>
      <c r="C269" s="3" t="s">
        <v>84</v>
      </c>
      <c r="D269" s="3">
        <v>3</v>
      </c>
      <c r="E269" s="3">
        <v>2022</v>
      </c>
      <c r="F269" s="3">
        <v>1</v>
      </c>
      <c r="G269" s="3" t="s">
        <v>39</v>
      </c>
      <c r="H269" s="3" t="s">
        <v>40</v>
      </c>
      <c r="I269" s="5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 t="e">
        <f t="shared" si="4"/>
        <v>#DIV/0!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</row>
    <row r="270" spans="1:36" x14ac:dyDescent="0.2">
      <c r="A270" s="3" t="s">
        <v>75</v>
      </c>
      <c r="B270" s="3" t="s">
        <v>83</v>
      </c>
      <c r="C270" s="3" t="s">
        <v>84</v>
      </c>
      <c r="D270" s="3">
        <v>3</v>
      </c>
      <c r="E270" s="3">
        <v>2022</v>
      </c>
      <c r="F270" s="3">
        <v>1</v>
      </c>
      <c r="G270" s="3" t="s">
        <v>42</v>
      </c>
      <c r="H270" s="3" t="s">
        <v>46</v>
      </c>
      <c r="I270" s="5">
        <v>909160</v>
      </c>
      <c r="J270" s="3">
        <v>51240</v>
      </c>
      <c r="K270" s="3">
        <v>857920</v>
      </c>
      <c r="L270" s="3">
        <v>562296</v>
      </c>
      <c r="M270" s="3">
        <v>295624</v>
      </c>
      <c r="N270" s="3">
        <v>498564.63441064087</v>
      </c>
      <c r="O270" s="3">
        <f t="shared" si="4"/>
        <v>58.113184727088871</v>
      </c>
      <c r="P270" s="3">
        <v>134391.09599999999</v>
      </c>
      <c r="Q270" s="3">
        <v>46429.851999999992</v>
      </c>
      <c r="R270" s="3">
        <v>160533.2344106409</v>
      </c>
      <c r="S270" s="3">
        <v>54667.983999999997</v>
      </c>
      <c r="T270" s="3">
        <v>1423.0719999999999</v>
      </c>
      <c r="U270" s="3">
        <v>29562.399999999998</v>
      </c>
      <c r="V270" s="3">
        <v>71556.995999999999</v>
      </c>
      <c r="W270" s="3">
        <v>0</v>
      </c>
      <c r="X270" s="3">
        <v>-202940.63441064089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-202940.63441064089</v>
      </c>
      <c r="AF270" s="3">
        <v>0</v>
      </c>
      <c r="AG270" s="3">
        <v>-202940.63441064089</v>
      </c>
      <c r="AH270" s="3">
        <v>-202940.63441064089</v>
      </c>
      <c r="AI270" s="3">
        <v>1820000</v>
      </c>
      <c r="AJ270" s="3">
        <v>350000</v>
      </c>
    </row>
    <row r="271" spans="1:36" x14ac:dyDescent="0.2">
      <c r="A271" s="3" t="s">
        <v>75</v>
      </c>
      <c r="B271" s="3" t="s">
        <v>83</v>
      </c>
      <c r="C271" s="3" t="s">
        <v>84</v>
      </c>
      <c r="D271" s="3">
        <v>1</v>
      </c>
      <c r="E271" s="3">
        <v>2022</v>
      </c>
      <c r="F271" s="3">
        <v>1</v>
      </c>
      <c r="G271" s="3" t="s">
        <v>42</v>
      </c>
      <c r="H271" s="3" t="s">
        <v>46</v>
      </c>
      <c r="I271" s="5">
        <v>1392096</v>
      </c>
      <c r="J271" s="3">
        <v>117393.60000000001</v>
      </c>
      <c r="K271" s="3">
        <v>1274702.4000000001</v>
      </c>
      <c r="L271" s="3">
        <v>855737.6</v>
      </c>
      <c r="M271" s="3">
        <v>418964.80000000005</v>
      </c>
      <c r="N271" s="3">
        <v>368353.11243838287</v>
      </c>
      <c r="O271" s="3">
        <f t="shared" si="4"/>
        <v>28.897185134222923</v>
      </c>
      <c r="P271" s="3">
        <v>76794.912000000011</v>
      </c>
      <c r="Q271" s="3">
        <v>25497.936000000002</v>
      </c>
      <c r="R271" s="3">
        <v>97787.880438382854</v>
      </c>
      <c r="S271" s="3">
        <v>70461.968000000008</v>
      </c>
      <c r="T271" s="3">
        <v>0</v>
      </c>
      <c r="U271" s="3">
        <v>42394.847999999998</v>
      </c>
      <c r="V271" s="3">
        <v>55415.567999999999</v>
      </c>
      <c r="W271" s="3">
        <v>0</v>
      </c>
      <c r="X271" s="3">
        <v>50611.687561617138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50611.687561617138</v>
      </c>
      <c r="AF271" s="3">
        <v>0</v>
      </c>
      <c r="AG271" s="3">
        <v>50611.687561617138</v>
      </c>
      <c r="AH271" s="3">
        <v>50611.687561617138</v>
      </c>
      <c r="AI271" s="3">
        <v>1040000</v>
      </c>
      <c r="AJ271" s="3">
        <v>200000</v>
      </c>
    </row>
    <row r="272" spans="1:36" x14ac:dyDescent="0.2">
      <c r="A272" s="3" t="s">
        <v>75</v>
      </c>
      <c r="B272" s="3" t="s">
        <v>83</v>
      </c>
      <c r="C272" s="3" t="s">
        <v>84</v>
      </c>
      <c r="D272" s="3">
        <v>2</v>
      </c>
      <c r="E272" s="3">
        <v>2022</v>
      </c>
      <c r="F272" s="3">
        <v>1</v>
      </c>
      <c r="G272" s="3" t="s">
        <v>42</v>
      </c>
      <c r="H272" s="3" t="s">
        <v>46</v>
      </c>
      <c r="I272" s="5">
        <v>2024750</v>
      </c>
      <c r="J272" s="3">
        <v>69703.399999999994</v>
      </c>
      <c r="K272" s="3">
        <v>1955046.6</v>
      </c>
      <c r="L272" s="3">
        <v>1271270</v>
      </c>
      <c r="M272" s="3">
        <v>683776.60000000009</v>
      </c>
      <c r="N272" s="3">
        <v>357144.73657626769</v>
      </c>
      <c r="O272" s="3">
        <f t="shared" ref="O272:O335" si="5">N272/K272*100</f>
        <v>18.267837532684268</v>
      </c>
      <c r="P272" s="3">
        <v>62395.866000000009</v>
      </c>
      <c r="Q272" s="3">
        <v>21556.717000000004</v>
      </c>
      <c r="R272" s="3">
        <v>73767.564576267687</v>
      </c>
      <c r="S272" s="3">
        <v>103217.894</v>
      </c>
      <c r="T272" s="3">
        <v>0</v>
      </c>
      <c r="U272" s="3">
        <v>68450.460000000006</v>
      </c>
      <c r="V272" s="3">
        <v>27756.235000000001</v>
      </c>
      <c r="W272" s="3">
        <v>0</v>
      </c>
      <c r="X272" s="3">
        <v>326631.86342373234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326631.86342373234</v>
      </c>
      <c r="AF272" s="3">
        <v>0</v>
      </c>
      <c r="AG272" s="3">
        <v>326631.86342373234</v>
      </c>
      <c r="AH272" s="3">
        <v>326631.86342373234</v>
      </c>
      <c r="AI272" s="3">
        <v>845000</v>
      </c>
      <c r="AJ272" s="3">
        <v>162500</v>
      </c>
    </row>
    <row r="273" spans="1:36" x14ac:dyDescent="0.2">
      <c r="A273" s="3" t="s">
        <v>75</v>
      </c>
      <c r="B273" s="3" t="s">
        <v>83</v>
      </c>
      <c r="C273" s="3" t="s">
        <v>84</v>
      </c>
      <c r="D273" s="3">
        <v>3</v>
      </c>
      <c r="E273" s="3">
        <v>2022</v>
      </c>
      <c r="F273" s="3">
        <v>1</v>
      </c>
      <c r="G273" s="3" t="s">
        <v>48</v>
      </c>
      <c r="H273" s="3" t="s">
        <v>46</v>
      </c>
      <c r="I273" s="5">
        <v>35143017.599999994</v>
      </c>
      <c r="J273" s="3">
        <v>2237717.1599999997</v>
      </c>
      <c r="K273" s="3">
        <v>32905300.440000001</v>
      </c>
      <c r="L273" s="3">
        <v>23499406.328269687</v>
      </c>
      <c r="M273" s="3">
        <v>9405894.1117303129</v>
      </c>
      <c r="N273" s="3">
        <v>6075280.7255247869</v>
      </c>
      <c r="O273" s="3">
        <f t="shared" si="5"/>
        <v>18.46292434436981</v>
      </c>
      <c r="P273" s="3">
        <v>1412306.3399999999</v>
      </c>
      <c r="Q273" s="3">
        <v>110500.30799999999</v>
      </c>
      <c r="R273" s="3">
        <v>1777119.4775247874</v>
      </c>
      <c r="S273" s="3">
        <v>550927.82400000002</v>
      </c>
      <c r="T273" s="3">
        <v>509737.98000000004</v>
      </c>
      <c r="U273" s="3">
        <v>946594.18799999997</v>
      </c>
      <c r="V273" s="3">
        <v>768094.60800000001</v>
      </c>
      <c r="W273" s="3">
        <v>0</v>
      </c>
      <c r="X273" s="3">
        <v>3330613.3862055261</v>
      </c>
      <c r="Y273" s="3">
        <v>810.02957742509761</v>
      </c>
      <c r="Z273" s="3">
        <v>1344015.6359999999</v>
      </c>
      <c r="AA273" s="3">
        <v>-1343205.6064225747</v>
      </c>
      <c r="AB273" s="3">
        <v>296753.89199999999</v>
      </c>
      <c r="AC273" s="3">
        <v>134628</v>
      </c>
      <c r="AD273" s="3">
        <v>162125.89199999999</v>
      </c>
      <c r="AE273" s="3">
        <v>2149533.6717829509</v>
      </c>
      <c r="AF273" s="3">
        <v>0</v>
      </c>
      <c r="AG273" s="3">
        <v>2149533.6717829509</v>
      </c>
      <c r="AH273" s="3">
        <v>2149533.6717829509</v>
      </c>
      <c r="AI273" s="3">
        <v>37200000</v>
      </c>
      <c r="AJ273" s="3">
        <v>2557283.709898191</v>
      </c>
    </row>
    <row r="274" spans="1:36" x14ac:dyDescent="0.2">
      <c r="A274" s="3" t="s">
        <v>75</v>
      </c>
      <c r="B274" s="3" t="s">
        <v>83</v>
      </c>
      <c r="C274" s="3" t="s">
        <v>84</v>
      </c>
      <c r="D274" s="3">
        <v>2</v>
      </c>
      <c r="E274" s="3">
        <v>2022</v>
      </c>
      <c r="F274" s="3">
        <v>1</v>
      </c>
      <c r="G274" s="3" t="s">
        <v>48</v>
      </c>
      <c r="H274" s="3" t="s">
        <v>46</v>
      </c>
      <c r="I274" s="5">
        <v>52076603</v>
      </c>
      <c r="J274" s="3">
        <v>877941.2</v>
      </c>
      <c r="K274" s="3">
        <v>51198661.799999997</v>
      </c>
      <c r="L274" s="3">
        <v>33374331.993333999</v>
      </c>
      <c r="M274" s="3">
        <v>17824329.806666002</v>
      </c>
      <c r="N274" s="3">
        <v>9134233.7191800233</v>
      </c>
      <c r="O274" s="3">
        <f t="shared" si="5"/>
        <v>17.84076653187061</v>
      </c>
      <c r="P274" s="3">
        <v>2353843.9000000004</v>
      </c>
      <c r="Q274" s="3">
        <v>184167.18</v>
      </c>
      <c r="R274" s="3">
        <v>2913551.6591800237</v>
      </c>
      <c r="S274" s="3">
        <v>342730.89999999997</v>
      </c>
      <c r="T274" s="3">
        <v>513541.08</v>
      </c>
      <c r="U274" s="3">
        <v>1756096.7800000003</v>
      </c>
      <c r="V274" s="3">
        <v>1070302.22</v>
      </c>
      <c r="W274" s="3">
        <v>0</v>
      </c>
      <c r="X274" s="3">
        <v>8690096.0874859784</v>
      </c>
      <c r="Y274" s="3">
        <v>1401.164268835005</v>
      </c>
      <c r="Z274" s="3">
        <v>2160331.9</v>
      </c>
      <c r="AA274" s="3">
        <v>-2158930.7357311649</v>
      </c>
      <c r="AB274" s="3">
        <v>488208</v>
      </c>
      <c r="AC274" s="3">
        <v>14600</v>
      </c>
      <c r="AD274" s="3">
        <v>473608</v>
      </c>
      <c r="AE274" s="3">
        <v>7004773.3517548125</v>
      </c>
      <c r="AF274" s="3">
        <v>0</v>
      </c>
      <c r="AG274" s="3">
        <v>7004773.3517548125</v>
      </c>
      <c r="AH274" s="3">
        <v>7004773.3517548125</v>
      </c>
      <c r="AI274" s="3">
        <v>64000000</v>
      </c>
      <c r="AJ274" s="3">
        <v>5372173.8300237395</v>
      </c>
    </row>
    <row r="275" spans="1:36" x14ac:dyDescent="0.2">
      <c r="A275" s="3" t="s">
        <v>75</v>
      </c>
      <c r="B275" s="3" t="s">
        <v>83</v>
      </c>
      <c r="C275" s="3" t="s">
        <v>84</v>
      </c>
      <c r="D275" s="3">
        <v>3</v>
      </c>
      <c r="E275" s="3">
        <v>2022</v>
      </c>
      <c r="F275" s="3">
        <v>1</v>
      </c>
      <c r="G275" s="3" t="s">
        <v>39</v>
      </c>
      <c r="H275" s="3" t="s">
        <v>46</v>
      </c>
      <c r="I275" s="5">
        <v>127913084.44200002</v>
      </c>
      <c r="J275" s="3">
        <v>0</v>
      </c>
      <c r="K275" s="3">
        <v>127913084.44200002</v>
      </c>
      <c r="L275" s="3">
        <v>127783369.03200001</v>
      </c>
      <c r="M275" s="3">
        <v>129715.41</v>
      </c>
      <c r="N275" s="3">
        <v>184434.14377907943</v>
      </c>
      <c r="O275" s="3">
        <f t="shared" si="5"/>
        <v>0.14418708186394169</v>
      </c>
      <c r="P275" s="3">
        <v>43117.14</v>
      </c>
      <c r="Q275" s="3">
        <v>877.65700000000015</v>
      </c>
      <c r="R275" s="3">
        <v>77845.13377907942</v>
      </c>
      <c r="S275" s="3">
        <v>11433.972000000002</v>
      </c>
      <c r="T275" s="3">
        <v>14640.351000000001</v>
      </c>
      <c r="U275" s="3">
        <v>12993.101000000002</v>
      </c>
      <c r="V275" s="3">
        <v>23526.789000000004</v>
      </c>
      <c r="W275" s="3">
        <v>0</v>
      </c>
      <c r="X275" s="3">
        <v>-54718.733779079412</v>
      </c>
      <c r="Y275" s="3">
        <v>0</v>
      </c>
      <c r="Z275" s="3">
        <v>0</v>
      </c>
      <c r="AA275" s="3">
        <v>0</v>
      </c>
      <c r="AB275" s="3">
        <v>66779.297437161018</v>
      </c>
      <c r="AC275" s="3">
        <v>279.40000000000003</v>
      </c>
      <c r="AD275" s="3">
        <v>66499.897437161009</v>
      </c>
      <c r="AE275" s="3">
        <v>11781.163658081614</v>
      </c>
      <c r="AF275" s="3">
        <v>0</v>
      </c>
      <c r="AG275" s="3">
        <v>11781.163658081614</v>
      </c>
      <c r="AH275" s="3">
        <v>11781.163658081614</v>
      </c>
      <c r="AI275" s="3">
        <v>231000000</v>
      </c>
      <c r="AJ275" s="3">
        <v>-324500.00000000006</v>
      </c>
    </row>
    <row r="276" spans="1:36" x14ac:dyDescent="0.2">
      <c r="A276" s="3" t="s">
        <v>75</v>
      </c>
      <c r="B276" s="3" t="s">
        <v>83</v>
      </c>
      <c r="C276" s="3" t="s">
        <v>84</v>
      </c>
      <c r="D276" s="3">
        <v>1</v>
      </c>
      <c r="E276" s="3">
        <v>2022</v>
      </c>
      <c r="F276" s="3">
        <v>1</v>
      </c>
      <c r="G276" s="3" t="s">
        <v>48</v>
      </c>
      <c r="H276" s="3" t="s">
        <v>46</v>
      </c>
      <c r="I276" s="5">
        <v>130734030</v>
      </c>
      <c r="J276" s="3">
        <v>5776544.7999999998</v>
      </c>
      <c r="K276" s="3">
        <v>124957485.19999999</v>
      </c>
      <c r="L276" s="3">
        <v>103467501.9181207</v>
      </c>
      <c r="M276" s="3">
        <v>21489983.281879295</v>
      </c>
      <c r="N276" s="3">
        <v>15219378.629822847</v>
      </c>
      <c r="O276" s="3">
        <f t="shared" si="5"/>
        <v>12.179645425372923</v>
      </c>
      <c r="P276" s="3">
        <v>3413073.6550000003</v>
      </c>
      <c r="Q276" s="3">
        <v>250348.93800000002</v>
      </c>
      <c r="R276" s="3">
        <v>4540144.6668228488</v>
      </c>
      <c r="S276" s="3">
        <v>539250.73699999996</v>
      </c>
      <c r="T276" s="3">
        <v>1212199.246</v>
      </c>
      <c r="U276" s="3">
        <v>2721500.0409999997</v>
      </c>
      <c r="V276" s="3">
        <v>2542861.3459999999</v>
      </c>
      <c r="W276" s="3">
        <v>0</v>
      </c>
      <c r="X276" s="3">
        <v>6270604.6520564472</v>
      </c>
      <c r="Y276" s="3">
        <v>3350.3921130170329</v>
      </c>
      <c r="Z276" s="3">
        <v>3046769.4930000002</v>
      </c>
      <c r="AA276" s="3">
        <v>-3043419.1008869833</v>
      </c>
      <c r="AB276" s="3">
        <v>1178270</v>
      </c>
      <c r="AC276" s="3">
        <v>515910</v>
      </c>
      <c r="AD276" s="3">
        <v>662360</v>
      </c>
      <c r="AE276" s="3">
        <v>3889545.5511694644</v>
      </c>
      <c r="AF276" s="3">
        <v>0</v>
      </c>
      <c r="AG276" s="3">
        <v>3889545.5511694644</v>
      </c>
      <c r="AH276" s="3">
        <v>3889545.5511694644</v>
      </c>
      <c r="AI276" s="3">
        <v>58000000</v>
      </c>
      <c r="AJ276" s="3">
        <v>-1999708.7749999999</v>
      </c>
    </row>
    <row r="277" spans="1:36" x14ac:dyDescent="0.2">
      <c r="A277" s="3" t="s">
        <v>75</v>
      </c>
      <c r="B277" s="3" t="s">
        <v>83</v>
      </c>
      <c r="C277" s="3" t="s">
        <v>84</v>
      </c>
      <c r="D277" s="3">
        <v>2</v>
      </c>
      <c r="E277" s="3">
        <v>2022</v>
      </c>
      <c r="F277" s="3">
        <v>1</v>
      </c>
      <c r="G277" s="3" t="s">
        <v>39</v>
      </c>
      <c r="H277" s="3" t="s">
        <v>46</v>
      </c>
      <c r="I277" s="5">
        <v>291417177.56399995</v>
      </c>
      <c r="J277" s="3">
        <v>0</v>
      </c>
      <c r="K277" s="3">
        <v>291417177.56399995</v>
      </c>
      <c r="L277" s="3">
        <v>291072778.41599995</v>
      </c>
      <c r="M277" s="3">
        <v>344399.14799999999</v>
      </c>
      <c r="N277" s="3">
        <v>270379.17134735268</v>
      </c>
      <c r="O277" s="3">
        <f t="shared" si="5"/>
        <v>9.2780794051844459E-2</v>
      </c>
      <c r="P277" s="3">
        <v>47036.880000000005</v>
      </c>
      <c r="Q277" s="3">
        <v>957.44399999999996</v>
      </c>
      <c r="R277" s="3">
        <v>92158.387347352676</v>
      </c>
      <c r="S277" s="3">
        <v>7001.4240000000009</v>
      </c>
      <c r="T277" s="3">
        <v>64284.732000000004</v>
      </c>
      <c r="U277" s="3">
        <v>36555.756000000001</v>
      </c>
      <c r="V277" s="3">
        <v>22384.547999999999</v>
      </c>
      <c r="W277" s="3">
        <v>0</v>
      </c>
      <c r="X277" s="3">
        <v>74019.976652647325</v>
      </c>
      <c r="Y277" s="3">
        <v>0</v>
      </c>
      <c r="Z277" s="3">
        <v>5060.232</v>
      </c>
      <c r="AA277" s="3">
        <v>-5060.232</v>
      </c>
      <c r="AB277" s="3">
        <v>121510.14265872113</v>
      </c>
      <c r="AC277" s="3">
        <v>28041.599999999999</v>
      </c>
      <c r="AD277" s="3">
        <v>93468.542658721111</v>
      </c>
      <c r="AE277" s="3">
        <v>162428.28731136845</v>
      </c>
      <c r="AF277" s="3">
        <v>0</v>
      </c>
      <c r="AG277" s="3">
        <v>162428.28731136845</v>
      </c>
      <c r="AH277" s="3">
        <v>162428.28731136845</v>
      </c>
      <c r="AI277" s="3">
        <v>246000000</v>
      </c>
      <c r="AJ277" s="3">
        <v>-342000</v>
      </c>
    </row>
    <row r="278" spans="1:36" x14ac:dyDescent="0.2">
      <c r="A278" s="3" t="s">
        <v>75</v>
      </c>
      <c r="B278" s="3" t="s">
        <v>83</v>
      </c>
      <c r="C278" s="3" t="s">
        <v>84</v>
      </c>
      <c r="D278" s="3">
        <v>1</v>
      </c>
      <c r="E278" s="3">
        <v>2022</v>
      </c>
      <c r="F278" s="3">
        <v>1</v>
      </c>
      <c r="G278" s="3" t="s">
        <v>39</v>
      </c>
      <c r="H278" s="3" t="s">
        <v>46</v>
      </c>
      <c r="I278" s="5">
        <v>618585965.61999989</v>
      </c>
      <c r="J278" s="3">
        <v>0</v>
      </c>
      <c r="K278" s="3">
        <v>618585965.61999989</v>
      </c>
      <c r="L278" s="3">
        <v>617798228.43199992</v>
      </c>
      <c r="M278" s="3">
        <v>787737.18800000008</v>
      </c>
      <c r="N278" s="3">
        <v>732547.36423289566</v>
      </c>
      <c r="O278" s="3">
        <f t="shared" si="5"/>
        <v>0.11842288783559353</v>
      </c>
      <c r="P278" s="3">
        <v>109752.72</v>
      </c>
      <c r="Q278" s="3">
        <v>757.12</v>
      </c>
      <c r="R278" s="3">
        <v>215200.63223289564</v>
      </c>
      <c r="S278" s="3">
        <v>16336.655999999999</v>
      </c>
      <c r="T278" s="3">
        <v>215244.56799999997</v>
      </c>
      <c r="U278" s="3">
        <v>82419.399999999994</v>
      </c>
      <c r="V278" s="3">
        <v>92836.267999999982</v>
      </c>
      <c r="W278" s="3">
        <v>0</v>
      </c>
      <c r="X278" s="3">
        <v>55189.823767104324</v>
      </c>
      <c r="Y278" s="3">
        <v>0</v>
      </c>
      <c r="Z278" s="3">
        <v>24703.447999999997</v>
      </c>
      <c r="AA278" s="3">
        <v>-24703.447999999997</v>
      </c>
      <c r="AB278" s="3">
        <v>67760</v>
      </c>
      <c r="AC278" s="3">
        <v>39115.999999999993</v>
      </c>
      <c r="AD278" s="3">
        <v>28644</v>
      </c>
      <c r="AE278" s="3">
        <v>59130.375767104328</v>
      </c>
      <c r="AF278" s="3">
        <v>0</v>
      </c>
      <c r="AG278" s="3">
        <v>59130.375767104328</v>
      </c>
      <c r="AH278" s="3">
        <v>59130.375767104328</v>
      </c>
      <c r="AI278" s="3">
        <v>504000000</v>
      </c>
      <c r="AJ278" s="3">
        <v>-742000</v>
      </c>
    </row>
    <row r="279" spans="1:36" x14ac:dyDescent="0.2">
      <c r="A279" s="3" t="s">
        <v>75</v>
      </c>
      <c r="B279" s="3" t="s">
        <v>83</v>
      </c>
      <c r="C279" s="3" t="s">
        <v>85</v>
      </c>
      <c r="D279" s="3">
        <v>1</v>
      </c>
      <c r="E279" s="3">
        <v>2022</v>
      </c>
      <c r="F279" s="3">
        <v>1</v>
      </c>
      <c r="G279" s="3" t="s">
        <v>42</v>
      </c>
      <c r="H279" s="3" t="s">
        <v>40</v>
      </c>
      <c r="I279" s="5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 t="e">
        <f t="shared" si="5"/>
        <v>#DIV/0!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</row>
    <row r="280" spans="1:36" x14ac:dyDescent="0.2">
      <c r="A280" s="3" t="s">
        <v>75</v>
      </c>
      <c r="B280" s="3" t="s">
        <v>83</v>
      </c>
      <c r="C280" s="3" t="s">
        <v>85</v>
      </c>
      <c r="D280" s="3">
        <v>1</v>
      </c>
      <c r="E280" s="3">
        <v>2022</v>
      </c>
      <c r="F280" s="3">
        <v>1</v>
      </c>
      <c r="G280" s="3" t="s">
        <v>39</v>
      </c>
      <c r="H280" s="3" t="s">
        <v>40</v>
      </c>
      <c r="I280" s="5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 t="e">
        <f t="shared" si="5"/>
        <v>#DIV/0!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</row>
    <row r="281" spans="1:36" x14ac:dyDescent="0.2">
      <c r="A281" s="3" t="s">
        <v>75</v>
      </c>
      <c r="B281" s="3" t="s">
        <v>83</v>
      </c>
      <c r="C281" s="3" t="s">
        <v>85</v>
      </c>
      <c r="D281" s="3">
        <v>2</v>
      </c>
      <c r="E281" s="3">
        <v>2022</v>
      </c>
      <c r="F281" s="3">
        <v>1</v>
      </c>
      <c r="G281" s="3" t="s">
        <v>42</v>
      </c>
      <c r="H281" s="3" t="s">
        <v>40</v>
      </c>
      <c r="I281" s="5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 t="e">
        <f t="shared" si="5"/>
        <v>#DIV/0!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</row>
    <row r="282" spans="1:36" x14ac:dyDescent="0.2">
      <c r="A282" s="3" t="s">
        <v>75</v>
      </c>
      <c r="B282" s="3" t="s">
        <v>83</v>
      </c>
      <c r="C282" s="3" t="s">
        <v>85</v>
      </c>
      <c r="D282" s="3">
        <v>2</v>
      </c>
      <c r="E282" s="3">
        <v>2022</v>
      </c>
      <c r="F282" s="3">
        <v>1</v>
      </c>
      <c r="G282" s="3" t="s">
        <v>39</v>
      </c>
      <c r="H282" s="3" t="s">
        <v>40</v>
      </c>
      <c r="I282" s="5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 t="e">
        <f t="shared" si="5"/>
        <v>#DIV/0!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</row>
    <row r="283" spans="1:36" x14ac:dyDescent="0.2">
      <c r="A283" s="3" t="s">
        <v>75</v>
      </c>
      <c r="B283" s="3" t="s">
        <v>83</v>
      </c>
      <c r="C283" s="3" t="s">
        <v>85</v>
      </c>
      <c r="D283" s="3">
        <v>3</v>
      </c>
      <c r="E283" s="3">
        <v>2022</v>
      </c>
      <c r="F283" s="3">
        <v>1</v>
      </c>
      <c r="G283" s="3" t="s">
        <v>42</v>
      </c>
      <c r="H283" s="3" t="s">
        <v>40</v>
      </c>
      <c r="I283" s="5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 t="e">
        <f t="shared" si="5"/>
        <v>#DIV/0!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</row>
    <row r="284" spans="1:36" x14ac:dyDescent="0.2">
      <c r="A284" s="3" t="s">
        <v>75</v>
      </c>
      <c r="B284" s="3" t="s">
        <v>83</v>
      </c>
      <c r="C284" s="3" t="s">
        <v>85</v>
      </c>
      <c r="D284" s="3">
        <v>3</v>
      </c>
      <c r="E284" s="3">
        <v>2022</v>
      </c>
      <c r="F284" s="3">
        <v>1</v>
      </c>
      <c r="G284" s="3" t="s">
        <v>39</v>
      </c>
      <c r="H284" s="3" t="s">
        <v>40</v>
      </c>
      <c r="I284" s="5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 t="e">
        <f t="shared" si="5"/>
        <v>#DIV/0!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</row>
    <row r="285" spans="1:36" x14ac:dyDescent="0.2">
      <c r="A285" s="3" t="s">
        <v>75</v>
      </c>
      <c r="B285" s="3" t="s">
        <v>83</v>
      </c>
      <c r="C285" s="3" t="s">
        <v>85</v>
      </c>
      <c r="D285" s="3">
        <v>3</v>
      </c>
      <c r="E285" s="3">
        <v>2022</v>
      </c>
      <c r="F285" s="3">
        <v>1</v>
      </c>
      <c r="G285" s="3" t="s">
        <v>42</v>
      </c>
      <c r="H285" s="3" t="s">
        <v>46</v>
      </c>
      <c r="I285" s="5">
        <v>690048</v>
      </c>
      <c r="J285" s="3">
        <v>9256.7999999999993</v>
      </c>
      <c r="K285" s="3">
        <v>680791.2</v>
      </c>
      <c r="L285" s="3">
        <v>419788.79999999999</v>
      </c>
      <c r="M285" s="3">
        <v>261002.40000000002</v>
      </c>
      <c r="N285" s="3">
        <v>720785.17124858196</v>
      </c>
      <c r="O285" s="3">
        <f t="shared" si="5"/>
        <v>105.87463105407092</v>
      </c>
      <c r="P285" s="3">
        <v>150000</v>
      </c>
      <c r="Q285" s="3">
        <v>112641.216</v>
      </c>
      <c r="R285" s="3">
        <v>243471.65924858183</v>
      </c>
      <c r="S285" s="3">
        <v>51749.040000000008</v>
      </c>
      <c r="T285" s="3">
        <v>0</v>
      </c>
      <c r="U285" s="3">
        <v>26100.239999999998</v>
      </c>
      <c r="V285" s="3">
        <v>136823.016</v>
      </c>
      <c r="W285" s="3">
        <v>0</v>
      </c>
      <c r="X285" s="3">
        <v>-459782.77124858176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-459782.77124858176</v>
      </c>
      <c r="AF285" s="3">
        <v>0</v>
      </c>
      <c r="AG285" s="3">
        <v>-459782.77124858176</v>
      </c>
      <c r="AH285" s="3">
        <v>-459782.77124858176</v>
      </c>
      <c r="AI285" s="3">
        <v>1560000</v>
      </c>
      <c r="AJ285" s="3">
        <v>300000</v>
      </c>
    </row>
    <row r="286" spans="1:36" x14ac:dyDescent="0.2">
      <c r="A286" s="3" t="s">
        <v>75</v>
      </c>
      <c r="B286" s="3" t="s">
        <v>83</v>
      </c>
      <c r="C286" s="3" t="s">
        <v>85</v>
      </c>
      <c r="D286" s="3">
        <v>1</v>
      </c>
      <c r="E286" s="3">
        <v>2022</v>
      </c>
      <c r="F286" s="3">
        <v>1</v>
      </c>
      <c r="G286" s="3" t="s">
        <v>42</v>
      </c>
      <c r="H286" s="3" t="s">
        <v>46</v>
      </c>
      <c r="I286" s="5">
        <v>1062594</v>
      </c>
      <c r="J286" s="3">
        <v>30346.799999999999</v>
      </c>
      <c r="K286" s="3">
        <v>1032247.2</v>
      </c>
      <c r="L286" s="3">
        <v>658456.4</v>
      </c>
      <c r="M286" s="3">
        <v>373790.80000000005</v>
      </c>
      <c r="N286" s="3">
        <v>619123.0838866235</v>
      </c>
      <c r="O286" s="3">
        <f t="shared" si="5"/>
        <v>59.978180021861384</v>
      </c>
      <c r="P286" s="3">
        <v>118750</v>
      </c>
      <c r="Q286" s="3">
        <v>88510.758999999991</v>
      </c>
      <c r="R286" s="3">
        <v>193082.47388662351</v>
      </c>
      <c r="S286" s="3">
        <v>65632.365000000005</v>
      </c>
      <c r="T286" s="3">
        <v>0</v>
      </c>
      <c r="U286" s="3">
        <v>37848.531999999992</v>
      </c>
      <c r="V286" s="3">
        <v>115298.95400000001</v>
      </c>
      <c r="W286" s="3">
        <v>0</v>
      </c>
      <c r="X286" s="3">
        <v>-245332.28388662351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-245332.28388662351</v>
      </c>
      <c r="AF286" s="3">
        <v>0</v>
      </c>
      <c r="AG286" s="3">
        <v>-245332.28388662351</v>
      </c>
      <c r="AH286" s="3">
        <v>-245332.28388662351</v>
      </c>
      <c r="AI286" s="3">
        <v>1235000</v>
      </c>
      <c r="AJ286" s="3">
        <v>237500</v>
      </c>
    </row>
    <row r="287" spans="1:36" x14ac:dyDescent="0.2">
      <c r="A287" s="3" t="s">
        <v>75</v>
      </c>
      <c r="B287" s="3" t="s">
        <v>83</v>
      </c>
      <c r="C287" s="3" t="s">
        <v>85</v>
      </c>
      <c r="D287" s="3">
        <v>2</v>
      </c>
      <c r="E287" s="3">
        <v>2022</v>
      </c>
      <c r="F287" s="3">
        <v>1</v>
      </c>
      <c r="G287" s="3" t="s">
        <v>42</v>
      </c>
      <c r="H287" s="3" t="s">
        <v>46</v>
      </c>
      <c r="I287" s="5">
        <v>4028157</v>
      </c>
      <c r="J287" s="3">
        <v>0</v>
      </c>
      <c r="K287" s="3">
        <v>4028157</v>
      </c>
      <c r="L287" s="3">
        <v>2503834.2000000002</v>
      </c>
      <c r="M287" s="3">
        <v>1524322.8</v>
      </c>
      <c r="N287" s="3">
        <v>1068429.0272971215</v>
      </c>
      <c r="O287" s="3">
        <f t="shared" si="5"/>
        <v>26.524016499285441</v>
      </c>
      <c r="P287" s="3">
        <v>168750</v>
      </c>
      <c r="Q287" s="3">
        <v>125778.44700000001</v>
      </c>
      <c r="R287" s="3">
        <v>272032.00529712124</v>
      </c>
      <c r="S287" s="3">
        <v>221331.01500000001</v>
      </c>
      <c r="T287" s="3">
        <v>0</v>
      </c>
      <c r="U287" s="3">
        <v>152092.08000000002</v>
      </c>
      <c r="V287" s="3">
        <v>128445.48000000001</v>
      </c>
      <c r="W287" s="3">
        <v>0</v>
      </c>
      <c r="X287" s="3">
        <v>455893.77270287886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455893.77270287886</v>
      </c>
      <c r="AF287" s="3">
        <v>0</v>
      </c>
      <c r="AG287" s="3">
        <v>455893.77270287886</v>
      </c>
      <c r="AH287" s="3">
        <v>455893.77270287886</v>
      </c>
      <c r="AI287" s="3">
        <v>1755000</v>
      </c>
      <c r="AJ287" s="3">
        <v>337500</v>
      </c>
    </row>
    <row r="288" spans="1:36" x14ac:dyDescent="0.2">
      <c r="A288" s="3" t="s">
        <v>75</v>
      </c>
      <c r="B288" s="3" t="s">
        <v>83</v>
      </c>
      <c r="C288" s="3" t="s">
        <v>85</v>
      </c>
      <c r="D288" s="3">
        <v>2</v>
      </c>
      <c r="E288" s="3">
        <v>2022</v>
      </c>
      <c r="F288" s="3">
        <v>1</v>
      </c>
      <c r="G288" s="3" t="s">
        <v>48</v>
      </c>
      <c r="H288" s="3" t="s">
        <v>46</v>
      </c>
      <c r="I288" s="5">
        <v>40848528.5</v>
      </c>
      <c r="J288" s="3">
        <v>1046103.5</v>
      </c>
      <c r="K288" s="3">
        <v>39802425</v>
      </c>
      <c r="L288" s="3">
        <v>27194947.762667097</v>
      </c>
      <c r="M288" s="3">
        <v>12607477.237332901</v>
      </c>
      <c r="N288" s="3">
        <v>5871981.6364574442</v>
      </c>
      <c r="O288" s="3">
        <f t="shared" si="5"/>
        <v>14.752823820301009</v>
      </c>
      <c r="P288" s="3">
        <v>919620</v>
      </c>
      <c r="Q288" s="3">
        <v>599495.96200000006</v>
      </c>
      <c r="R288" s="3">
        <v>1598439.2984574439</v>
      </c>
      <c r="S288" s="3">
        <v>210364.492</v>
      </c>
      <c r="T288" s="3">
        <v>352989.68900000001</v>
      </c>
      <c r="U288" s="3">
        <v>1491120.8520000004</v>
      </c>
      <c r="V288" s="3">
        <v>699951.34299999988</v>
      </c>
      <c r="W288" s="3">
        <v>0</v>
      </c>
      <c r="X288" s="3">
        <v>6735495.6008754577</v>
      </c>
      <c r="Y288" s="3">
        <v>1776.8680946188144</v>
      </c>
      <c r="Z288" s="3">
        <v>1510518.36</v>
      </c>
      <c r="AA288" s="3">
        <v>-1508741.491905381</v>
      </c>
      <c r="AB288" s="3">
        <v>32331</v>
      </c>
      <c r="AC288" s="3">
        <v>32331</v>
      </c>
      <c r="AD288" s="3">
        <v>0</v>
      </c>
      <c r="AE288" s="3">
        <v>5226754.1089700758</v>
      </c>
      <c r="AF288" s="3">
        <v>0</v>
      </c>
      <c r="AG288" s="3">
        <v>5226754.1089700758</v>
      </c>
      <c r="AH288" s="3">
        <v>5226754.1089700758</v>
      </c>
      <c r="AI288" s="3">
        <v>47450000</v>
      </c>
      <c r="AJ288" s="3">
        <v>5565068.7371913902</v>
      </c>
    </row>
    <row r="289" spans="1:36" x14ac:dyDescent="0.2">
      <c r="A289" s="3" t="s">
        <v>75</v>
      </c>
      <c r="B289" s="3" t="s">
        <v>83</v>
      </c>
      <c r="C289" s="3" t="s">
        <v>85</v>
      </c>
      <c r="D289" s="3">
        <v>3</v>
      </c>
      <c r="E289" s="3">
        <v>2022</v>
      </c>
      <c r="F289" s="3">
        <v>1</v>
      </c>
      <c r="G289" s="3" t="s">
        <v>48</v>
      </c>
      <c r="H289" s="3" t="s">
        <v>46</v>
      </c>
      <c r="I289" s="5">
        <v>67049038</v>
      </c>
      <c r="J289" s="3">
        <v>3553729.1999999997</v>
      </c>
      <c r="K289" s="3">
        <v>63495308.799999997</v>
      </c>
      <c r="L289" s="3">
        <v>46349592.135379396</v>
      </c>
      <c r="M289" s="3">
        <v>17145716.664620597</v>
      </c>
      <c r="N289" s="3">
        <v>7911842.729696692</v>
      </c>
      <c r="O289" s="3">
        <f t="shared" si="5"/>
        <v>12.46051539747247</v>
      </c>
      <c r="P289" s="3">
        <v>990360</v>
      </c>
      <c r="Q289" s="3">
        <v>651144.31200000003</v>
      </c>
      <c r="R289" s="3">
        <v>1759272.5296966936</v>
      </c>
      <c r="S289" s="3">
        <v>566378.10599999991</v>
      </c>
      <c r="T289" s="3">
        <v>839317.83599999989</v>
      </c>
      <c r="U289" s="3">
        <v>2198264.054</v>
      </c>
      <c r="V289" s="3">
        <v>907105.89199999988</v>
      </c>
      <c r="W289" s="3">
        <v>0</v>
      </c>
      <c r="X289" s="3">
        <v>9233873.9349239059</v>
      </c>
      <c r="Y289" s="3">
        <v>2799.5612021822817</v>
      </c>
      <c r="Z289" s="3">
        <v>1658977.8659999999</v>
      </c>
      <c r="AA289" s="3">
        <v>-1656178.304797818</v>
      </c>
      <c r="AB289" s="3">
        <v>53690</v>
      </c>
      <c r="AC289" s="3">
        <v>53690</v>
      </c>
      <c r="AD289" s="3">
        <v>0</v>
      </c>
      <c r="AE289" s="3">
        <v>7577695.630126087</v>
      </c>
      <c r="AF289" s="3">
        <v>0</v>
      </c>
      <c r="AG289" s="3">
        <v>7577695.630126087</v>
      </c>
      <c r="AH289" s="3">
        <v>7577695.630126087</v>
      </c>
      <c r="AI289" s="3">
        <v>55300000</v>
      </c>
      <c r="AJ289" s="3">
        <v>7049607.7001582384</v>
      </c>
    </row>
    <row r="290" spans="1:36" x14ac:dyDescent="0.2">
      <c r="A290" s="3" t="s">
        <v>75</v>
      </c>
      <c r="B290" s="3" t="s">
        <v>83</v>
      </c>
      <c r="C290" s="3" t="s">
        <v>85</v>
      </c>
      <c r="D290" s="3">
        <v>1</v>
      </c>
      <c r="E290" s="3">
        <v>2022</v>
      </c>
      <c r="F290" s="3">
        <v>1</v>
      </c>
      <c r="G290" s="3" t="s">
        <v>48</v>
      </c>
      <c r="H290" s="3" t="s">
        <v>46</v>
      </c>
      <c r="I290" s="5">
        <v>73329220</v>
      </c>
      <c r="J290" s="3">
        <v>2560700</v>
      </c>
      <c r="K290" s="3">
        <v>70768520</v>
      </c>
      <c r="L290" s="3">
        <v>46594926.670662008</v>
      </c>
      <c r="M290" s="3">
        <v>24173593.329337999</v>
      </c>
      <c r="N290" s="3">
        <v>10310205.767871952</v>
      </c>
      <c r="O290" s="3">
        <f t="shared" si="5"/>
        <v>14.568915342403589</v>
      </c>
      <c r="P290" s="3">
        <v>1414800</v>
      </c>
      <c r="Q290" s="3">
        <v>922301.48</v>
      </c>
      <c r="R290" s="3">
        <v>2479384.7678719517</v>
      </c>
      <c r="S290" s="3">
        <v>348083.36000000004</v>
      </c>
      <c r="T290" s="3">
        <v>1263225.94</v>
      </c>
      <c r="U290" s="3">
        <v>2508793.2999999998</v>
      </c>
      <c r="V290" s="3">
        <v>1373616.9200000002</v>
      </c>
      <c r="W290" s="3">
        <v>0</v>
      </c>
      <c r="X290" s="3">
        <v>13863387.561466044</v>
      </c>
      <c r="Y290" s="3">
        <v>1796.0790975846533</v>
      </c>
      <c r="Z290" s="3">
        <v>2133878.1800000002</v>
      </c>
      <c r="AA290" s="3">
        <v>-2132082.1009024149</v>
      </c>
      <c r="AB290" s="3">
        <v>64600</v>
      </c>
      <c r="AC290" s="3">
        <v>64600</v>
      </c>
      <c r="AD290" s="3">
        <v>0</v>
      </c>
      <c r="AE290" s="3">
        <v>11731305.46056363</v>
      </c>
      <c r="AF290" s="3">
        <v>0</v>
      </c>
      <c r="AG290" s="3">
        <v>11731305.46056363</v>
      </c>
      <c r="AH290" s="3">
        <v>11731305.46056363</v>
      </c>
      <c r="AI290" s="3">
        <v>72000000</v>
      </c>
      <c r="AJ290" s="3">
        <v>8051745.4000000004</v>
      </c>
    </row>
    <row r="291" spans="1:36" x14ac:dyDescent="0.2">
      <c r="A291" s="3" t="s">
        <v>75</v>
      </c>
      <c r="B291" s="3" t="s">
        <v>83</v>
      </c>
      <c r="C291" s="3" t="s">
        <v>85</v>
      </c>
      <c r="D291" s="3">
        <v>2</v>
      </c>
      <c r="E291" s="3">
        <v>2022</v>
      </c>
      <c r="F291" s="3">
        <v>1</v>
      </c>
      <c r="G291" s="3" t="s">
        <v>39</v>
      </c>
      <c r="H291" s="3" t="s">
        <v>46</v>
      </c>
      <c r="I291" s="5">
        <v>475154715.64799994</v>
      </c>
      <c r="J291" s="3">
        <v>0</v>
      </c>
      <c r="K291" s="3">
        <v>475154715.64799994</v>
      </c>
      <c r="L291" s="3">
        <v>474724261.67999995</v>
      </c>
      <c r="M291" s="3">
        <v>430453.96799999994</v>
      </c>
      <c r="N291" s="3">
        <v>298539.94443746976</v>
      </c>
      <c r="O291" s="3">
        <f t="shared" si="5"/>
        <v>6.283004979343014E-2</v>
      </c>
      <c r="P291" s="3">
        <v>28080</v>
      </c>
      <c r="Q291" s="3">
        <v>37351.296000000002</v>
      </c>
      <c r="R291" s="3">
        <v>74617.208437469832</v>
      </c>
      <c r="S291" s="3">
        <v>5559.96</v>
      </c>
      <c r="T291" s="3">
        <v>83352.407999999996</v>
      </c>
      <c r="U291" s="3">
        <v>48179.952000000005</v>
      </c>
      <c r="V291" s="3">
        <v>21399.119999999999</v>
      </c>
      <c r="W291" s="3">
        <v>0</v>
      </c>
      <c r="X291" s="3">
        <v>131914.02356253017</v>
      </c>
      <c r="Y291" s="3">
        <v>0</v>
      </c>
      <c r="Z291" s="3">
        <v>0</v>
      </c>
      <c r="AA291" s="3">
        <v>0</v>
      </c>
      <c r="AB291" s="3">
        <v>318807.81637270923</v>
      </c>
      <c r="AC291" s="3">
        <v>69494.399999999994</v>
      </c>
      <c r="AD291" s="3">
        <v>249313.41637270921</v>
      </c>
      <c r="AE291" s="3">
        <v>381227.43993523938</v>
      </c>
      <c r="AF291" s="3">
        <v>0</v>
      </c>
      <c r="AG291" s="3">
        <v>381227.43993523938</v>
      </c>
      <c r="AH291" s="3">
        <v>381227.43993523938</v>
      </c>
      <c r="AI291" s="3">
        <v>600000000</v>
      </c>
      <c r="AJ291" s="3">
        <v>-684000</v>
      </c>
    </row>
    <row r="292" spans="1:36" x14ac:dyDescent="0.2">
      <c r="A292" s="3" t="s">
        <v>75</v>
      </c>
      <c r="B292" s="3" t="s">
        <v>83</v>
      </c>
      <c r="C292" s="3" t="s">
        <v>85</v>
      </c>
      <c r="D292" s="3">
        <v>3</v>
      </c>
      <c r="E292" s="3">
        <v>2022</v>
      </c>
      <c r="F292" s="3">
        <v>1</v>
      </c>
      <c r="G292" s="3" t="s">
        <v>39</v>
      </c>
      <c r="H292" s="3" t="s">
        <v>46</v>
      </c>
      <c r="I292" s="5">
        <v>597333454.97599995</v>
      </c>
      <c r="J292" s="3">
        <v>0</v>
      </c>
      <c r="K292" s="3">
        <v>597333454.97599995</v>
      </c>
      <c r="L292" s="3">
        <v>596874217.55900002</v>
      </c>
      <c r="M292" s="3">
        <v>459237.41700000002</v>
      </c>
      <c r="N292" s="3">
        <v>312222.63544882101</v>
      </c>
      <c r="O292" s="3">
        <f t="shared" si="5"/>
        <v>5.2269403772364581E-2</v>
      </c>
      <c r="P292" s="3">
        <v>33930</v>
      </c>
      <c r="Q292" s="3">
        <v>45322.707999999999</v>
      </c>
      <c r="R292" s="3">
        <v>83949.251448821014</v>
      </c>
      <c r="S292" s="3">
        <v>25046.284999999996</v>
      </c>
      <c r="T292" s="3">
        <v>46896.074000000001</v>
      </c>
      <c r="U292" s="3">
        <v>46094.252999999997</v>
      </c>
      <c r="V292" s="3">
        <v>30984.063999999998</v>
      </c>
      <c r="W292" s="3">
        <v>0</v>
      </c>
      <c r="X292" s="3">
        <v>147014.78155117895</v>
      </c>
      <c r="Y292" s="3">
        <v>0</v>
      </c>
      <c r="Z292" s="3">
        <v>0</v>
      </c>
      <c r="AA292" s="3">
        <v>0</v>
      </c>
      <c r="AB292" s="3">
        <v>243126.11145035696</v>
      </c>
      <c r="AC292" s="3">
        <v>2209.7999999999997</v>
      </c>
      <c r="AD292" s="3">
        <v>240916.31145035697</v>
      </c>
      <c r="AE292" s="3">
        <v>387931.09300153592</v>
      </c>
      <c r="AF292" s="3">
        <v>0</v>
      </c>
      <c r="AG292" s="3">
        <v>387931.09300153592</v>
      </c>
      <c r="AH292" s="3">
        <v>387931.09300153592</v>
      </c>
      <c r="AI292" s="3">
        <v>725000000</v>
      </c>
      <c r="AJ292" s="3">
        <v>-826500</v>
      </c>
    </row>
    <row r="293" spans="1:36" x14ac:dyDescent="0.2">
      <c r="A293" s="3" t="s">
        <v>75</v>
      </c>
      <c r="B293" s="3" t="s">
        <v>83</v>
      </c>
      <c r="C293" s="3" t="s">
        <v>85</v>
      </c>
      <c r="D293" s="3">
        <v>1</v>
      </c>
      <c r="E293" s="3">
        <v>2022</v>
      </c>
      <c r="F293" s="3">
        <v>1</v>
      </c>
      <c r="G293" s="3" t="s">
        <v>39</v>
      </c>
      <c r="H293" s="3" t="s">
        <v>46</v>
      </c>
      <c r="I293" s="5">
        <v>655301757.31800008</v>
      </c>
      <c r="J293" s="3">
        <v>0</v>
      </c>
      <c r="K293" s="3">
        <v>655301757.31800008</v>
      </c>
      <c r="L293" s="3">
        <v>654629510.00200009</v>
      </c>
      <c r="M293" s="3">
        <v>672247.31600000011</v>
      </c>
      <c r="N293" s="3">
        <v>439076.54162585008</v>
      </c>
      <c r="O293" s="3">
        <f t="shared" si="5"/>
        <v>6.700371801578707E-2</v>
      </c>
      <c r="P293" s="3">
        <v>30420</v>
      </c>
      <c r="Q293" s="3">
        <v>40463.903999999995</v>
      </c>
      <c r="R293" s="3">
        <v>77758.467625850026</v>
      </c>
      <c r="S293" s="3">
        <v>6023.2899999999991</v>
      </c>
      <c r="T293" s="3">
        <v>184395.48400000003</v>
      </c>
      <c r="U293" s="3">
        <v>70441.358000000007</v>
      </c>
      <c r="V293" s="3">
        <v>29574.038000000004</v>
      </c>
      <c r="W293" s="3">
        <v>0</v>
      </c>
      <c r="X293" s="3">
        <v>233170.77437414994</v>
      </c>
      <c r="Y293" s="3">
        <v>0</v>
      </c>
      <c r="Z293" s="3">
        <v>0</v>
      </c>
      <c r="AA293" s="3">
        <v>0</v>
      </c>
      <c r="AB293" s="3">
        <v>66690</v>
      </c>
      <c r="AC293" s="3">
        <v>37642.800000000003</v>
      </c>
      <c r="AD293" s="3">
        <v>29047.199999999997</v>
      </c>
      <c r="AE293" s="3">
        <v>262217.97437414998</v>
      </c>
      <c r="AF293" s="3">
        <v>0</v>
      </c>
      <c r="AG293" s="3">
        <v>262217.97437414998</v>
      </c>
      <c r="AH293" s="3">
        <v>262217.97437414998</v>
      </c>
      <c r="AI293" s="3">
        <v>702000000</v>
      </c>
      <c r="AJ293" s="3">
        <v>-663000</v>
      </c>
    </row>
    <row r="294" spans="1:36" x14ac:dyDescent="0.2">
      <c r="A294" s="3" t="s">
        <v>75</v>
      </c>
      <c r="B294" s="3" t="s">
        <v>83</v>
      </c>
      <c r="C294" s="3" t="s">
        <v>86</v>
      </c>
      <c r="D294" s="3">
        <v>1</v>
      </c>
      <c r="E294" s="3">
        <v>2022</v>
      </c>
      <c r="F294" s="3">
        <v>1</v>
      </c>
      <c r="G294" s="3" t="s">
        <v>42</v>
      </c>
      <c r="H294" s="3" t="s">
        <v>40</v>
      </c>
      <c r="I294" s="5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 t="e">
        <f t="shared" si="5"/>
        <v>#DIV/0!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</row>
    <row r="295" spans="1:36" x14ac:dyDescent="0.2">
      <c r="A295" s="3" t="s">
        <v>75</v>
      </c>
      <c r="B295" s="3" t="s">
        <v>83</v>
      </c>
      <c r="C295" s="3" t="s">
        <v>86</v>
      </c>
      <c r="D295" s="3">
        <v>1</v>
      </c>
      <c r="E295" s="3">
        <v>2022</v>
      </c>
      <c r="F295" s="3">
        <v>1</v>
      </c>
      <c r="G295" s="3" t="s">
        <v>39</v>
      </c>
      <c r="H295" s="3" t="s">
        <v>40</v>
      </c>
      <c r="I295" s="5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 t="e">
        <f t="shared" si="5"/>
        <v>#DIV/0!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</row>
    <row r="296" spans="1:36" x14ac:dyDescent="0.2">
      <c r="A296" s="3" t="s">
        <v>75</v>
      </c>
      <c r="B296" s="3" t="s">
        <v>83</v>
      </c>
      <c r="C296" s="3" t="s">
        <v>86</v>
      </c>
      <c r="D296" s="3">
        <v>2</v>
      </c>
      <c r="E296" s="3">
        <v>2022</v>
      </c>
      <c r="F296" s="3">
        <v>1</v>
      </c>
      <c r="G296" s="3" t="s">
        <v>42</v>
      </c>
      <c r="H296" s="3" t="s">
        <v>40</v>
      </c>
      <c r="I296" s="5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 t="e">
        <f t="shared" si="5"/>
        <v>#DIV/0!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</row>
    <row r="297" spans="1:36" x14ac:dyDescent="0.2">
      <c r="A297" s="3" t="s">
        <v>75</v>
      </c>
      <c r="B297" s="3" t="s">
        <v>83</v>
      </c>
      <c r="C297" s="3" t="s">
        <v>86</v>
      </c>
      <c r="D297" s="3">
        <v>2</v>
      </c>
      <c r="E297" s="3">
        <v>2022</v>
      </c>
      <c r="F297" s="3">
        <v>1</v>
      </c>
      <c r="G297" s="3" t="s">
        <v>39</v>
      </c>
      <c r="H297" s="3" t="s">
        <v>40</v>
      </c>
      <c r="I297" s="5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 t="e">
        <f t="shared" si="5"/>
        <v>#DIV/0!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</row>
    <row r="298" spans="1:36" x14ac:dyDescent="0.2">
      <c r="A298" s="3" t="s">
        <v>75</v>
      </c>
      <c r="B298" s="3" t="s">
        <v>83</v>
      </c>
      <c r="C298" s="3" t="s">
        <v>86</v>
      </c>
      <c r="D298" s="3">
        <v>3</v>
      </c>
      <c r="E298" s="3">
        <v>2022</v>
      </c>
      <c r="F298" s="3">
        <v>1</v>
      </c>
      <c r="G298" s="3" t="s">
        <v>42</v>
      </c>
      <c r="H298" s="3" t="s">
        <v>40</v>
      </c>
      <c r="I298" s="5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 t="e">
        <f t="shared" si="5"/>
        <v>#DIV/0!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</row>
    <row r="299" spans="1:36" x14ac:dyDescent="0.2">
      <c r="A299" s="3" t="s">
        <v>75</v>
      </c>
      <c r="B299" s="3" t="s">
        <v>83</v>
      </c>
      <c r="C299" s="3" t="s">
        <v>86</v>
      </c>
      <c r="D299" s="3">
        <v>3</v>
      </c>
      <c r="E299" s="3">
        <v>2022</v>
      </c>
      <c r="F299" s="3">
        <v>1</v>
      </c>
      <c r="G299" s="3" t="s">
        <v>39</v>
      </c>
      <c r="H299" s="3" t="s">
        <v>40</v>
      </c>
      <c r="I299" s="5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 t="e">
        <f t="shared" si="5"/>
        <v>#DIV/0!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</row>
    <row r="300" spans="1:36" x14ac:dyDescent="0.2">
      <c r="A300" s="3" t="s">
        <v>75</v>
      </c>
      <c r="B300" s="3" t="s">
        <v>83</v>
      </c>
      <c r="C300" s="3" t="s">
        <v>86</v>
      </c>
      <c r="D300" s="3">
        <v>3</v>
      </c>
      <c r="E300" s="3">
        <v>2022</v>
      </c>
      <c r="F300" s="3">
        <v>1</v>
      </c>
      <c r="G300" s="3" t="s">
        <v>42</v>
      </c>
      <c r="H300" s="3" t="s">
        <v>46</v>
      </c>
      <c r="I300" s="5">
        <v>165477</v>
      </c>
      <c r="J300" s="3">
        <v>0</v>
      </c>
      <c r="K300" s="3">
        <v>165477</v>
      </c>
      <c r="L300" s="3">
        <v>100326.20000000001</v>
      </c>
      <c r="M300" s="3">
        <v>65150.8</v>
      </c>
      <c r="N300" s="3">
        <v>227458.28853248473</v>
      </c>
      <c r="O300" s="3">
        <f t="shared" si="5"/>
        <v>137.45613501120079</v>
      </c>
      <c r="P300" s="3">
        <v>72631.337999999989</v>
      </c>
      <c r="Q300" s="3">
        <v>40557.478000000003</v>
      </c>
      <c r="R300" s="3">
        <v>66425.03953248472</v>
      </c>
      <c r="S300" s="3">
        <v>12847.081</v>
      </c>
      <c r="T300" s="3">
        <v>0</v>
      </c>
      <c r="U300" s="3">
        <v>6515.08</v>
      </c>
      <c r="V300" s="3">
        <v>28482.272000000004</v>
      </c>
      <c r="W300" s="3">
        <v>0</v>
      </c>
      <c r="X300" s="3">
        <v>-162307.48853248474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-162307.48853248474</v>
      </c>
      <c r="AF300" s="3">
        <v>0</v>
      </c>
      <c r="AG300" s="3">
        <v>-162307.48853248474</v>
      </c>
      <c r="AH300" s="3">
        <v>-162307.48853248474</v>
      </c>
      <c r="AI300" s="3">
        <v>650000</v>
      </c>
      <c r="AJ300" s="3">
        <v>130000</v>
      </c>
    </row>
    <row r="301" spans="1:36" x14ac:dyDescent="0.2">
      <c r="A301" s="3" t="s">
        <v>75</v>
      </c>
      <c r="B301" s="3" t="s">
        <v>83</v>
      </c>
      <c r="C301" s="3" t="s">
        <v>86</v>
      </c>
      <c r="D301" s="3">
        <v>1</v>
      </c>
      <c r="E301" s="3">
        <v>2022</v>
      </c>
      <c r="F301" s="3">
        <v>1</v>
      </c>
      <c r="G301" s="3" t="s">
        <v>42</v>
      </c>
      <c r="H301" s="3" t="s">
        <v>46</v>
      </c>
      <c r="I301" s="5">
        <v>821548</v>
      </c>
      <c r="J301" s="3">
        <v>89150.1</v>
      </c>
      <c r="K301" s="3">
        <v>732397.89999999991</v>
      </c>
      <c r="L301" s="3">
        <v>493968.8</v>
      </c>
      <c r="M301" s="3">
        <v>238429.1</v>
      </c>
      <c r="N301" s="3">
        <v>268718.46280026459</v>
      </c>
      <c r="O301" s="3">
        <f t="shared" si="5"/>
        <v>36.690228467376087</v>
      </c>
      <c r="P301" s="3">
        <v>65742.637999999992</v>
      </c>
      <c r="Q301" s="3">
        <v>40288.663999999997</v>
      </c>
      <c r="R301" s="3">
        <v>64674.128800264654</v>
      </c>
      <c r="S301" s="3">
        <v>41193.126000000004</v>
      </c>
      <c r="T301" s="3">
        <v>0</v>
      </c>
      <c r="U301" s="3">
        <v>24324.04</v>
      </c>
      <c r="V301" s="3">
        <v>32495.866000000002</v>
      </c>
      <c r="W301" s="3">
        <v>0</v>
      </c>
      <c r="X301" s="3">
        <v>-30289.362800264629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-30289.362800264629</v>
      </c>
      <c r="AF301" s="3">
        <v>0</v>
      </c>
      <c r="AG301" s="3">
        <v>-30289.362800264629</v>
      </c>
      <c r="AH301" s="3">
        <v>-30289.362800264629</v>
      </c>
      <c r="AI301" s="3">
        <v>650000</v>
      </c>
      <c r="AJ301" s="3">
        <v>130000</v>
      </c>
    </row>
    <row r="302" spans="1:36" x14ac:dyDescent="0.2">
      <c r="A302" s="3" t="s">
        <v>75</v>
      </c>
      <c r="B302" s="3" t="s">
        <v>83</v>
      </c>
      <c r="C302" s="3" t="s">
        <v>86</v>
      </c>
      <c r="D302" s="3">
        <v>2</v>
      </c>
      <c r="E302" s="3">
        <v>2022</v>
      </c>
      <c r="F302" s="3">
        <v>1</v>
      </c>
      <c r="G302" s="3" t="s">
        <v>42</v>
      </c>
      <c r="H302" s="3" t="s">
        <v>46</v>
      </c>
      <c r="I302" s="5">
        <v>2698596</v>
      </c>
      <c r="J302" s="3">
        <v>10989</v>
      </c>
      <c r="K302" s="3">
        <v>2687607</v>
      </c>
      <c r="L302" s="3">
        <v>1746597.6</v>
      </c>
      <c r="M302" s="3">
        <v>941009.4</v>
      </c>
      <c r="N302" s="3">
        <v>630475.90824636968</v>
      </c>
      <c r="O302" s="3">
        <f t="shared" si="5"/>
        <v>23.458634697943921</v>
      </c>
      <c r="P302" s="3">
        <v>136542.40200000003</v>
      </c>
      <c r="Q302" s="3">
        <v>83676.456000000006</v>
      </c>
      <c r="R302" s="3">
        <v>127737.5822463698</v>
      </c>
      <c r="S302" s="3">
        <v>143878.59899999999</v>
      </c>
      <c r="T302" s="3">
        <v>0</v>
      </c>
      <c r="U302" s="3">
        <v>94100.939999999988</v>
      </c>
      <c r="V302" s="3">
        <v>44539.929000000004</v>
      </c>
      <c r="W302" s="3">
        <v>0</v>
      </c>
      <c r="X302" s="3">
        <v>310533.49175363028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310533.49175363028</v>
      </c>
      <c r="AF302" s="3">
        <v>0</v>
      </c>
      <c r="AG302" s="3">
        <v>310533.49175363028</v>
      </c>
      <c r="AH302" s="3">
        <v>310533.49175363028</v>
      </c>
      <c r="AI302" s="3">
        <v>1350000</v>
      </c>
      <c r="AJ302" s="3">
        <v>270000</v>
      </c>
    </row>
    <row r="303" spans="1:36" x14ac:dyDescent="0.2">
      <c r="A303" s="3" t="s">
        <v>75</v>
      </c>
      <c r="B303" s="3" t="s">
        <v>83</v>
      </c>
      <c r="C303" s="3" t="s">
        <v>86</v>
      </c>
      <c r="D303" s="3">
        <v>2</v>
      </c>
      <c r="E303" s="3">
        <v>2022</v>
      </c>
      <c r="F303" s="3">
        <v>1</v>
      </c>
      <c r="G303" s="3" t="s">
        <v>48</v>
      </c>
      <c r="H303" s="3" t="s">
        <v>46</v>
      </c>
      <c r="I303" s="5">
        <v>12711063</v>
      </c>
      <c r="J303" s="3">
        <v>19264.2</v>
      </c>
      <c r="K303" s="3">
        <v>12691798.799999999</v>
      </c>
      <c r="L303" s="3">
        <v>7283475.0690285005</v>
      </c>
      <c r="M303" s="3">
        <v>5408323.7309715003</v>
      </c>
      <c r="N303" s="3">
        <v>5976388.9420395866</v>
      </c>
      <c r="O303" s="3">
        <f t="shared" si="5"/>
        <v>47.088588751025483</v>
      </c>
      <c r="P303" s="3">
        <v>1804135.17</v>
      </c>
      <c r="Q303" s="3">
        <v>741502.5</v>
      </c>
      <c r="R303" s="3">
        <v>1808631.3220395865</v>
      </c>
      <c r="S303" s="3">
        <v>192891.465</v>
      </c>
      <c r="T303" s="3">
        <v>229631.87999999998</v>
      </c>
      <c r="U303" s="3">
        <v>611229.07499999995</v>
      </c>
      <c r="V303" s="3">
        <v>588367.53</v>
      </c>
      <c r="W303" s="3">
        <v>0</v>
      </c>
      <c r="X303" s="3">
        <v>-568065.21106808691</v>
      </c>
      <c r="Y303" s="3">
        <v>813.5709597967134</v>
      </c>
      <c r="Z303" s="3">
        <v>838583.23499999999</v>
      </c>
      <c r="AA303" s="3">
        <v>-837769.66404020321</v>
      </c>
      <c r="AB303" s="3">
        <v>15450</v>
      </c>
      <c r="AC303" s="3">
        <v>15450</v>
      </c>
      <c r="AD303" s="3">
        <v>0</v>
      </c>
      <c r="AE303" s="3">
        <v>-1405834.8751082902</v>
      </c>
      <c r="AF303" s="3">
        <v>0</v>
      </c>
      <c r="AG303" s="3">
        <v>-1405834.8751082902</v>
      </c>
      <c r="AH303" s="3">
        <v>-1405834.8751082902</v>
      </c>
      <c r="AI303" s="3">
        <v>31500000</v>
      </c>
      <c r="AJ303" s="3">
        <v>2168920.6970019559</v>
      </c>
    </row>
    <row r="304" spans="1:36" x14ac:dyDescent="0.2">
      <c r="A304" s="3" t="s">
        <v>75</v>
      </c>
      <c r="B304" s="3" t="s">
        <v>83</v>
      </c>
      <c r="C304" s="3" t="s">
        <v>86</v>
      </c>
      <c r="D304" s="3">
        <v>3</v>
      </c>
      <c r="E304" s="3">
        <v>2022</v>
      </c>
      <c r="F304" s="3">
        <v>1</v>
      </c>
      <c r="G304" s="3" t="s">
        <v>48</v>
      </c>
      <c r="H304" s="3" t="s">
        <v>46</v>
      </c>
      <c r="I304" s="5">
        <v>14947332</v>
      </c>
      <c r="J304" s="3">
        <v>400499.88</v>
      </c>
      <c r="K304" s="3">
        <v>14546832.120000001</v>
      </c>
      <c r="L304" s="3">
        <v>9288427.4961727522</v>
      </c>
      <c r="M304" s="3">
        <v>5258404.6238272469</v>
      </c>
      <c r="N304" s="3">
        <v>5509263.6515772417</v>
      </c>
      <c r="O304" s="3">
        <f t="shared" si="5"/>
        <v>37.872600756852904</v>
      </c>
      <c r="P304" s="3">
        <v>1594506.132</v>
      </c>
      <c r="Q304" s="3">
        <v>599263.22399999993</v>
      </c>
      <c r="R304" s="3">
        <v>1573112.5595772408</v>
      </c>
      <c r="S304" s="3">
        <v>198161.33999999997</v>
      </c>
      <c r="T304" s="3">
        <v>318680.44799999997</v>
      </c>
      <c r="U304" s="3">
        <v>597089.41199999989</v>
      </c>
      <c r="V304" s="3">
        <v>628450.53599999996</v>
      </c>
      <c r="W304" s="3">
        <v>0</v>
      </c>
      <c r="X304" s="3">
        <v>-250859.02774999381</v>
      </c>
      <c r="Y304" s="3">
        <v>469.34427657565658</v>
      </c>
      <c r="Z304" s="3">
        <v>721538.34000000008</v>
      </c>
      <c r="AA304" s="3">
        <v>-721068.99572342448</v>
      </c>
      <c r="AB304" s="3">
        <v>3240</v>
      </c>
      <c r="AC304" s="3">
        <v>3240</v>
      </c>
      <c r="AD304" s="3">
        <v>0</v>
      </c>
      <c r="AE304" s="3">
        <v>-971928.02347341808</v>
      </c>
      <c r="AF304" s="3">
        <v>0</v>
      </c>
      <c r="AG304" s="3">
        <v>-971928.02347341808</v>
      </c>
      <c r="AH304" s="3">
        <v>-971928.02347341808</v>
      </c>
      <c r="AI304" s="3">
        <v>17400000</v>
      </c>
      <c r="AJ304" s="3">
        <v>-329930.98701592395</v>
      </c>
    </row>
    <row r="305" spans="1:36" x14ac:dyDescent="0.2">
      <c r="A305" s="3" t="s">
        <v>75</v>
      </c>
      <c r="B305" s="3" t="s">
        <v>83</v>
      </c>
      <c r="C305" s="3" t="s">
        <v>86</v>
      </c>
      <c r="D305" s="3">
        <v>1</v>
      </c>
      <c r="E305" s="3">
        <v>2022</v>
      </c>
      <c r="F305" s="3">
        <v>1</v>
      </c>
      <c r="G305" s="3" t="s">
        <v>48</v>
      </c>
      <c r="H305" s="3" t="s">
        <v>46</v>
      </c>
      <c r="I305" s="5">
        <v>16764407</v>
      </c>
      <c r="J305" s="3">
        <v>82297.360000000015</v>
      </c>
      <c r="K305" s="3">
        <v>16682109.639999999</v>
      </c>
      <c r="L305" s="3">
        <v>9667798.4764036983</v>
      </c>
      <c r="M305" s="3">
        <v>7014311.1635963004</v>
      </c>
      <c r="N305" s="3">
        <v>11955797.341984257</v>
      </c>
      <c r="O305" s="3">
        <f t="shared" si="5"/>
        <v>71.668377681183131</v>
      </c>
      <c r="P305" s="3">
        <v>3487994.6619999995</v>
      </c>
      <c r="Q305" s="3">
        <v>1433571.5</v>
      </c>
      <c r="R305" s="3">
        <v>3664980.1789842569</v>
      </c>
      <c r="S305" s="3">
        <v>320801.42199999996</v>
      </c>
      <c r="T305" s="3">
        <v>550973.11699999997</v>
      </c>
      <c r="U305" s="3">
        <v>773803.95499999996</v>
      </c>
      <c r="V305" s="3">
        <v>1723672.5069999998</v>
      </c>
      <c r="W305" s="3">
        <v>0</v>
      </c>
      <c r="X305" s="3">
        <v>-4941486.1783879567</v>
      </c>
      <c r="Y305" s="3">
        <v>551.29180359512634</v>
      </c>
      <c r="Z305" s="3">
        <v>1537133.081</v>
      </c>
      <c r="AA305" s="3">
        <v>-1536581.7891964049</v>
      </c>
      <c r="AB305" s="3">
        <v>19720</v>
      </c>
      <c r="AC305" s="3">
        <v>18850</v>
      </c>
      <c r="AD305" s="3">
        <v>870</v>
      </c>
      <c r="AE305" s="3">
        <v>-6477197.9675843623</v>
      </c>
      <c r="AF305" s="3">
        <v>0</v>
      </c>
      <c r="AG305" s="3">
        <v>-6477197.9675843623</v>
      </c>
      <c r="AH305" s="3">
        <v>-6477197.9675843623</v>
      </c>
      <c r="AI305" s="3">
        <v>47850000</v>
      </c>
      <c r="AJ305" s="3">
        <v>293653.10099999997</v>
      </c>
    </row>
    <row r="306" spans="1:36" x14ac:dyDescent="0.2">
      <c r="A306" s="3" t="s">
        <v>75</v>
      </c>
      <c r="B306" s="3" t="s">
        <v>83</v>
      </c>
      <c r="C306" s="3" t="s">
        <v>86</v>
      </c>
      <c r="D306" s="3">
        <v>1</v>
      </c>
      <c r="E306" s="3">
        <v>2022</v>
      </c>
      <c r="F306" s="3">
        <v>1</v>
      </c>
      <c r="G306" s="3" t="s">
        <v>39</v>
      </c>
      <c r="H306" s="3" t="s">
        <v>46</v>
      </c>
      <c r="I306" s="5">
        <v>497393763.67199993</v>
      </c>
      <c r="J306" s="3">
        <v>0</v>
      </c>
      <c r="K306" s="3">
        <v>497393763.67199993</v>
      </c>
      <c r="L306" s="3">
        <v>496786986.93599999</v>
      </c>
      <c r="M306" s="3">
        <v>606776.73599999992</v>
      </c>
      <c r="N306" s="3">
        <v>479695.12543929333</v>
      </c>
      <c r="O306" s="3">
        <f t="shared" si="5"/>
        <v>9.6441724942016416E-2</v>
      </c>
      <c r="P306" s="3">
        <v>65740.175999999992</v>
      </c>
      <c r="Q306" s="3">
        <v>25120.847999999998</v>
      </c>
      <c r="R306" s="3">
        <v>98207.85343929338</v>
      </c>
      <c r="S306" s="3">
        <v>7413.2640000000001</v>
      </c>
      <c r="T306" s="3">
        <v>166621.46399999998</v>
      </c>
      <c r="U306" s="3">
        <v>62325.935999999994</v>
      </c>
      <c r="V306" s="3">
        <v>54265.584000000003</v>
      </c>
      <c r="W306" s="3">
        <v>0</v>
      </c>
      <c r="X306" s="3">
        <v>127081.61056070664</v>
      </c>
      <c r="Y306" s="3">
        <v>0</v>
      </c>
      <c r="Z306" s="3">
        <v>16548.048000000003</v>
      </c>
      <c r="AA306" s="3">
        <v>-16548.048000000003</v>
      </c>
      <c r="AB306" s="3">
        <v>27480</v>
      </c>
      <c r="AC306" s="3">
        <v>15849.6</v>
      </c>
      <c r="AD306" s="3">
        <v>11630.4</v>
      </c>
      <c r="AE306" s="3">
        <v>122163.96256070664</v>
      </c>
      <c r="AF306" s="3">
        <v>0</v>
      </c>
      <c r="AG306" s="3">
        <v>122163.96256070664</v>
      </c>
      <c r="AH306" s="3">
        <v>122163.96256070664</v>
      </c>
      <c r="AI306" s="3">
        <v>432000000</v>
      </c>
      <c r="AJ306" s="3">
        <v>-444000</v>
      </c>
    </row>
    <row r="307" spans="1:36" x14ac:dyDescent="0.2">
      <c r="A307" s="3" t="s">
        <v>75</v>
      </c>
      <c r="B307" s="3" t="s">
        <v>83</v>
      </c>
      <c r="C307" s="3" t="s">
        <v>86</v>
      </c>
      <c r="D307" s="3">
        <v>2</v>
      </c>
      <c r="E307" s="3">
        <v>2022</v>
      </c>
      <c r="F307" s="3">
        <v>1</v>
      </c>
      <c r="G307" s="3" t="s">
        <v>39</v>
      </c>
      <c r="H307" s="3" t="s">
        <v>46</v>
      </c>
      <c r="I307" s="5">
        <v>509413053.44800001</v>
      </c>
      <c r="J307" s="3">
        <v>0</v>
      </c>
      <c r="K307" s="3">
        <v>509413053.44800001</v>
      </c>
      <c r="L307" s="3">
        <v>508841044.58200008</v>
      </c>
      <c r="M307" s="3">
        <v>572008.86599999992</v>
      </c>
      <c r="N307" s="3">
        <v>404740.74239506829</v>
      </c>
      <c r="O307" s="3">
        <f t="shared" si="5"/>
        <v>7.9452369674383211E-2</v>
      </c>
      <c r="P307" s="3">
        <v>71218.524000000005</v>
      </c>
      <c r="Q307" s="3">
        <v>27214.252</v>
      </c>
      <c r="R307" s="3">
        <v>107503.25639506828</v>
      </c>
      <c r="S307" s="3">
        <v>8031.0360000000001</v>
      </c>
      <c r="T307" s="3">
        <v>108809.92200000001</v>
      </c>
      <c r="U307" s="3">
        <v>58742.684000000001</v>
      </c>
      <c r="V307" s="3">
        <v>23221.068000000007</v>
      </c>
      <c r="W307" s="3">
        <v>0</v>
      </c>
      <c r="X307" s="3">
        <v>167268.12360493172</v>
      </c>
      <c r="Y307" s="3">
        <v>0</v>
      </c>
      <c r="Z307" s="3">
        <v>30290.858000000004</v>
      </c>
      <c r="AA307" s="3">
        <v>-30290.858000000004</v>
      </c>
      <c r="AB307" s="3">
        <v>173733.9211493959</v>
      </c>
      <c r="AC307" s="3">
        <v>20472.400000000001</v>
      </c>
      <c r="AD307" s="3">
        <v>153261.52114939588</v>
      </c>
      <c r="AE307" s="3">
        <v>290238.78675432759</v>
      </c>
      <c r="AF307" s="3">
        <v>0</v>
      </c>
      <c r="AG307" s="3">
        <v>290238.78675432759</v>
      </c>
      <c r="AH307" s="3">
        <v>290238.78675432759</v>
      </c>
      <c r="AI307" s="3">
        <v>533000000</v>
      </c>
      <c r="AJ307" s="3">
        <v>-546000.00000000012</v>
      </c>
    </row>
    <row r="308" spans="1:36" x14ac:dyDescent="0.2">
      <c r="A308" s="3" t="s">
        <v>75</v>
      </c>
      <c r="B308" s="3" t="s">
        <v>83</v>
      </c>
      <c r="C308" s="3" t="s">
        <v>86</v>
      </c>
      <c r="D308" s="3">
        <v>3</v>
      </c>
      <c r="E308" s="3">
        <v>2022</v>
      </c>
      <c r="F308" s="3">
        <v>1</v>
      </c>
      <c r="G308" s="3" t="s">
        <v>39</v>
      </c>
      <c r="H308" s="3" t="s">
        <v>46</v>
      </c>
      <c r="I308" s="5">
        <v>667864619.11000001</v>
      </c>
      <c r="J308" s="3">
        <v>0</v>
      </c>
      <c r="K308" s="3">
        <v>667864619.11000001</v>
      </c>
      <c r="L308" s="3">
        <v>667343415.93400002</v>
      </c>
      <c r="M308" s="3">
        <v>521203.17600000004</v>
      </c>
      <c r="N308" s="3">
        <v>364286.58957062749</v>
      </c>
      <c r="O308" s="3">
        <f t="shared" si="5"/>
        <v>5.4544975006473283E-2</v>
      </c>
      <c r="P308" s="3">
        <v>78681.278000000006</v>
      </c>
      <c r="Q308" s="3">
        <v>27505.452000000001</v>
      </c>
      <c r="R308" s="3">
        <v>105010.84557062748</v>
      </c>
      <c r="S308" s="3">
        <v>19003.036</v>
      </c>
      <c r="T308" s="3">
        <v>50930.178</v>
      </c>
      <c r="U308" s="3">
        <v>52311.167999999998</v>
      </c>
      <c r="V308" s="3">
        <v>30844.632000000001</v>
      </c>
      <c r="W308" s="3">
        <v>0</v>
      </c>
      <c r="X308" s="3">
        <v>156916.58642937252</v>
      </c>
      <c r="Y308" s="3">
        <v>0</v>
      </c>
      <c r="Z308" s="3">
        <v>29980.522000000001</v>
      </c>
      <c r="AA308" s="3">
        <v>-29980.522000000001</v>
      </c>
      <c r="AB308" s="3">
        <v>143053.92114939587</v>
      </c>
      <c r="AC308" s="3">
        <v>2641.6000000000004</v>
      </c>
      <c r="AD308" s="3">
        <v>140412.32114939587</v>
      </c>
      <c r="AE308" s="3">
        <v>267348.38557876839</v>
      </c>
      <c r="AF308" s="3">
        <v>0</v>
      </c>
      <c r="AG308" s="3">
        <v>267348.38557876839</v>
      </c>
      <c r="AH308" s="3">
        <v>267348.38557876839</v>
      </c>
      <c r="AI308" s="3">
        <v>546000000</v>
      </c>
      <c r="AJ308" s="3">
        <v>-572000.00000000012</v>
      </c>
    </row>
    <row r="309" spans="1:36" x14ac:dyDescent="0.2">
      <c r="A309" s="3" t="s">
        <v>75</v>
      </c>
      <c r="B309" s="3" t="s">
        <v>83</v>
      </c>
      <c r="C309" s="3" t="s">
        <v>87</v>
      </c>
      <c r="D309" s="3">
        <v>1</v>
      </c>
      <c r="E309" s="3">
        <v>2022</v>
      </c>
      <c r="F309" s="3">
        <v>1</v>
      </c>
      <c r="G309" s="3" t="s">
        <v>42</v>
      </c>
      <c r="H309" s="3" t="s">
        <v>40</v>
      </c>
      <c r="I309" s="5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 t="e">
        <f t="shared" si="5"/>
        <v>#DIV/0!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</row>
    <row r="310" spans="1:36" x14ac:dyDescent="0.2">
      <c r="A310" s="3" t="s">
        <v>75</v>
      </c>
      <c r="B310" s="3" t="s">
        <v>83</v>
      </c>
      <c r="C310" s="3" t="s">
        <v>87</v>
      </c>
      <c r="D310" s="3">
        <v>1</v>
      </c>
      <c r="E310" s="3">
        <v>2022</v>
      </c>
      <c r="F310" s="3">
        <v>1</v>
      </c>
      <c r="G310" s="3" t="s">
        <v>39</v>
      </c>
      <c r="H310" s="3" t="s">
        <v>40</v>
      </c>
      <c r="I310" s="5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 t="e">
        <f t="shared" si="5"/>
        <v>#DIV/0!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</row>
    <row r="311" spans="1:36" x14ac:dyDescent="0.2">
      <c r="A311" s="3" t="s">
        <v>75</v>
      </c>
      <c r="B311" s="3" t="s">
        <v>83</v>
      </c>
      <c r="C311" s="3" t="s">
        <v>87</v>
      </c>
      <c r="D311" s="3">
        <v>2</v>
      </c>
      <c r="E311" s="3">
        <v>2022</v>
      </c>
      <c r="F311" s="3">
        <v>1</v>
      </c>
      <c r="G311" s="3" t="s">
        <v>42</v>
      </c>
      <c r="H311" s="3" t="s">
        <v>40</v>
      </c>
      <c r="I311" s="5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 t="e">
        <f t="shared" si="5"/>
        <v>#DIV/0!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</row>
    <row r="312" spans="1:36" x14ac:dyDescent="0.2">
      <c r="A312" s="3" t="s">
        <v>75</v>
      </c>
      <c r="B312" s="3" t="s">
        <v>83</v>
      </c>
      <c r="C312" s="3" t="s">
        <v>87</v>
      </c>
      <c r="D312" s="3">
        <v>2</v>
      </c>
      <c r="E312" s="3">
        <v>2022</v>
      </c>
      <c r="F312" s="3">
        <v>1</v>
      </c>
      <c r="G312" s="3" t="s">
        <v>39</v>
      </c>
      <c r="H312" s="3" t="s">
        <v>40</v>
      </c>
      <c r="I312" s="5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 t="e">
        <f t="shared" si="5"/>
        <v>#DIV/0!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</row>
    <row r="313" spans="1:36" x14ac:dyDescent="0.2">
      <c r="A313" s="3" t="s">
        <v>75</v>
      </c>
      <c r="B313" s="3" t="s">
        <v>83</v>
      </c>
      <c r="C313" s="3" t="s">
        <v>87</v>
      </c>
      <c r="D313" s="3">
        <v>3</v>
      </c>
      <c r="E313" s="3">
        <v>2022</v>
      </c>
      <c r="F313" s="3">
        <v>1</v>
      </c>
      <c r="G313" s="3" t="s">
        <v>42</v>
      </c>
      <c r="H313" s="3" t="s">
        <v>40</v>
      </c>
      <c r="I313" s="5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 t="e">
        <f t="shared" si="5"/>
        <v>#DIV/0!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</row>
    <row r="314" spans="1:36" x14ac:dyDescent="0.2">
      <c r="A314" s="3" t="s">
        <v>75</v>
      </c>
      <c r="B314" s="3" t="s">
        <v>83</v>
      </c>
      <c r="C314" s="3" t="s">
        <v>87</v>
      </c>
      <c r="D314" s="3">
        <v>3</v>
      </c>
      <c r="E314" s="3">
        <v>2022</v>
      </c>
      <c r="F314" s="3">
        <v>1</v>
      </c>
      <c r="G314" s="3" t="s">
        <v>39</v>
      </c>
      <c r="H314" s="3" t="s">
        <v>40</v>
      </c>
      <c r="I314" s="5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 t="e">
        <f t="shared" si="5"/>
        <v>#DIV/0!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</row>
    <row r="315" spans="1:36" x14ac:dyDescent="0.2">
      <c r="A315" s="3" t="s">
        <v>75</v>
      </c>
      <c r="B315" s="3" t="s">
        <v>83</v>
      </c>
      <c r="C315" s="3" t="s">
        <v>87</v>
      </c>
      <c r="D315" s="3">
        <v>1</v>
      </c>
      <c r="E315" s="3">
        <v>2022</v>
      </c>
      <c r="F315" s="3">
        <v>1</v>
      </c>
      <c r="G315" s="3" t="s">
        <v>42</v>
      </c>
      <c r="H315" s="3" t="s">
        <v>46</v>
      </c>
      <c r="I315" s="5">
        <v>188550</v>
      </c>
      <c r="J315" s="3">
        <v>3332.25</v>
      </c>
      <c r="K315" s="3">
        <v>185217.75</v>
      </c>
      <c r="L315" s="3">
        <v>114330</v>
      </c>
      <c r="M315" s="3">
        <v>70887.75</v>
      </c>
      <c r="N315" s="3">
        <v>135753.62092178391</v>
      </c>
      <c r="O315" s="3">
        <f t="shared" si="5"/>
        <v>73.29406653616293</v>
      </c>
      <c r="P315" s="3">
        <v>46031.7</v>
      </c>
      <c r="Q315" s="3">
        <v>27766.799999999999</v>
      </c>
      <c r="R315" s="3">
        <v>26624.150921783894</v>
      </c>
      <c r="S315" s="3">
        <v>11062.725</v>
      </c>
      <c r="T315" s="3">
        <v>0</v>
      </c>
      <c r="U315" s="3">
        <v>7349.82</v>
      </c>
      <c r="V315" s="3">
        <v>16918.424999999999</v>
      </c>
      <c r="W315" s="3">
        <v>0</v>
      </c>
      <c r="X315" s="3">
        <v>-64865.87092178392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-64865.87092178392</v>
      </c>
      <c r="AF315" s="3">
        <v>0</v>
      </c>
      <c r="AG315" s="3">
        <v>-64865.87092178392</v>
      </c>
      <c r="AH315" s="3">
        <v>-64865.87092178392</v>
      </c>
      <c r="AI315" s="3">
        <v>300000</v>
      </c>
      <c r="AJ315" s="3">
        <v>75000</v>
      </c>
    </row>
    <row r="316" spans="1:36" x14ac:dyDescent="0.2">
      <c r="A316" s="3" t="s">
        <v>75</v>
      </c>
      <c r="B316" s="3" t="s">
        <v>83</v>
      </c>
      <c r="C316" s="3" t="s">
        <v>87</v>
      </c>
      <c r="D316" s="3">
        <v>3</v>
      </c>
      <c r="E316" s="3">
        <v>2022</v>
      </c>
      <c r="F316" s="3">
        <v>1</v>
      </c>
      <c r="G316" s="3" t="s">
        <v>42</v>
      </c>
      <c r="H316" s="3" t="s">
        <v>46</v>
      </c>
      <c r="I316" s="5">
        <v>211200</v>
      </c>
      <c r="J316" s="3">
        <v>0</v>
      </c>
      <c r="K316" s="3">
        <v>211200</v>
      </c>
      <c r="L316" s="3">
        <v>126720</v>
      </c>
      <c r="M316" s="3">
        <v>84480</v>
      </c>
      <c r="N316" s="3">
        <v>144700.02486238733</v>
      </c>
      <c r="O316" s="3">
        <f t="shared" si="5"/>
        <v>68.513269347721277</v>
      </c>
      <c r="P316" s="3">
        <v>49100.479999999996</v>
      </c>
      <c r="Q316" s="3">
        <v>29617.919999999998</v>
      </c>
      <c r="R316" s="3">
        <v>30502.744862387339</v>
      </c>
      <c r="S316" s="3">
        <v>12481.951999999999</v>
      </c>
      <c r="T316" s="3">
        <v>0</v>
      </c>
      <c r="U316" s="3">
        <v>8448</v>
      </c>
      <c r="V316" s="3">
        <v>14548.928</v>
      </c>
      <c r="W316" s="3">
        <v>0</v>
      </c>
      <c r="X316" s="3">
        <v>-60220.024862387327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-60220.024862387327</v>
      </c>
      <c r="AF316" s="3">
        <v>0</v>
      </c>
      <c r="AG316" s="3">
        <v>-60220.024862387327</v>
      </c>
      <c r="AH316" s="3">
        <v>-60220.024862387327</v>
      </c>
      <c r="AI316" s="3">
        <v>320000</v>
      </c>
      <c r="AJ316" s="3">
        <v>80000</v>
      </c>
    </row>
    <row r="317" spans="1:36" x14ac:dyDescent="0.2">
      <c r="A317" s="3" t="s">
        <v>75</v>
      </c>
      <c r="B317" s="3" t="s">
        <v>83</v>
      </c>
      <c r="C317" s="3" t="s">
        <v>87</v>
      </c>
      <c r="D317" s="3">
        <v>2</v>
      </c>
      <c r="E317" s="3">
        <v>2022</v>
      </c>
      <c r="F317" s="3">
        <v>1</v>
      </c>
      <c r="G317" s="3" t="s">
        <v>42</v>
      </c>
      <c r="H317" s="3" t="s">
        <v>46</v>
      </c>
      <c r="I317" s="5">
        <v>490056</v>
      </c>
      <c r="J317" s="3">
        <v>3465</v>
      </c>
      <c r="K317" s="3">
        <v>486591</v>
      </c>
      <c r="L317" s="3">
        <v>321753.59999999998</v>
      </c>
      <c r="M317" s="3">
        <v>164837.40000000002</v>
      </c>
      <c r="N317" s="3">
        <v>197718.89422714163</v>
      </c>
      <c r="O317" s="3">
        <f t="shared" si="5"/>
        <v>40.633487719078573</v>
      </c>
      <c r="P317" s="3">
        <v>64444.380000000005</v>
      </c>
      <c r="Q317" s="3">
        <v>38873.519999999997</v>
      </c>
      <c r="R317" s="3">
        <v>36493.704227141672</v>
      </c>
      <c r="S317" s="3">
        <v>26852.112000000001</v>
      </c>
      <c r="T317" s="3">
        <v>0</v>
      </c>
      <c r="U317" s="3">
        <v>15689.939999999999</v>
      </c>
      <c r="V317" s="3">
        <v>15365.237999999999</v>
      </c>
      <c r="W317" s="3">
        <v>0</v>
      </c>
      <c r="X317" s="3">
        <v>-32881.494227141651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-32881.494227141651</v>
      </c>
      <c r="AF317" s="3">
        <v>0</v>
      </c>
      <c r="AG317" s="3">
        <v>-32881.494227141651</v>
      </c>
      <c r="AH317" s="3">
        <v>-32881.494227141651</v>
      </c>
      <c r="AI317" s="3">
        <v>420000</v>
      </c>
      <c r="AJ317" s="3">
        <v>105000</v>
      </c>
    </row>
    <row r="318" spans="1:36" x14ac:dyDescent="0.2">
      <c r="A318" s="3" t="s">
        <v>75</v>
      </c>
      <c r="B318" s="3" t="s">
        <v>83</v>
      </c>
      <c r="C318" s="3" t="s">
        <v>87</v>
      </c>
      <c r="D318" s="3">
        <v>2</v>
      </c>
      <c r="E318" s="3">
        <v>2022</v>
      </c>
      <c r="F318" s="3">
        <v>1</v>
      </c>
      <c r="G318" s="3" t="s">
        <v>48</v>
      </c>
      <c r="H318" s="3" t="s">
        <v>46</v>
      </c>
      <c r="I318" s="5">
        <v>4107948</v>
      </c>
      <c r="J318" s="3">
        <v>19703</v>
      </c>
      <c r="K318" s="3">
        <v>4088245</v>
      </c>
      <c r="L318" s="3">
        <v>2500900.6097137998</v>
      </c>
      <c r="M318" s="3">
        <v>1587344.3902862</v>
      </c>
      <c r="N318" s="3">
        <v>6371200.8956373017</v>
      </c>
      <c r="O318" s="3">
        <f t="shared" si="5"/>
        <v>155.84195408145308</v>
      </c>
      <c r="P318" s="3">
        <v>2651637.56</v>
      </c>
      <c r="Q318" s="3">
        <v>985447.94200000004</v>
      </c>
      <c r="R318" s="3">
        <v>1668188.9926373018</v>
      </c>
      <c r="S318" s="3">
        <v>125318.98499999999</v>
      </c>
      <c r="T318" s="3">
        <v>149278.24100000001</v>
      </c>
      <c r="U318" s="3">
        <v>159230.976</v>
      </c>
      <c r="V318" s="3">
        <v>632098.19899999991</v>
      </c>
      <c r="W318" s="3">
        <v>0</v>
      </c>
      <c r="X318" s="3">
        <v>-4783856.505351101</v>
      </c>
      <c r="Y318" s="3">
        <v>152.94640351891022</v>
      </c>
      <c r="Z318" s="3">
        <v>721581.35399999982</v>
      </c>
      <c r="AA318" s="3">
        <v>-721428.40759648115</v>
      </c>
      <c r="AB318" s="3">
        <v>1530</v>
      </c>
      <c r="AC318" s="3">
        <v>1530</v>
      </c>
      <c r="AD318" s="3">
        <v>0</v>
      </c>
      <c r="AE318" s="3">
        <v>-5505284.9129475821</v>
      </c>
      <c r="AF318" s="3">
        <v>0</v>
      </c>
      <c r="AG318" s="3">
        <v>-5505284.9129475821</v>
      </c>
      <c r="AH318" s="3">
        <v>-5505284.9129475821</v>
      </c>
      <c r="AI318" s="3">
        <v>18700000</v>
      </c>
      <c r="AJ318" s="3">
        <v>-2307917.7236249875</v>
      </c>
    </row>
    <row r="319" spans="1:36" x14ac:dyDescent="0.2">
      <c r="A319" s="3" t="s">
        <v>75</v>
      </c>
      <c r="B319" s="3" t="s">
        <v>83</v>
      </c>
      <c r="C319" s="3" t="s">
        <v>87</v>
      </c>
      <c r="D319" s="3">
        <v>1</v>
      </c>
      <c r="E319" s="3">
        <v>2022</v>
      </c>
      <c r="F319" s="3">
        <v>1</v>
      </c>
      <c r="G319" s="3" t="s">
        <v>48</v>
      </c>
      <c r="H319" s="3" t="s">
        <v>46</v>
      </c>
      <c r="I319" s="5">
        <v>10369497</v>
      </c>
      <c r="J319" s="3">
        <v>264590.2</v>
      </c>
      <c r="K319" s="3">
        <v>10104906.800000001</v>
      </c>
      <c r="L319" s="3">
        <v>6761484.5781895993</v>
      </c>
      <c r="M319" s="3">
        <v>3343422.2218104005</v>
      </c>
      <c r="N319" s="3">
        <v>7861754.3906395901</v>
      </c>
      <c r="O319" s="3">
        <f t="shared" si="5"/>
        <v>77.801354789730368</v>
      </c>
      <c r="P319" s="3">
        <v>2963594.9959999998</v>
      </c>
      <c r="Q319" s="3">
        <v>1101382.9939999999</v>
      </c>
      <c r="R319" s="3">
        <v>1917438.1786395907</v>
      </c>
      <c r="S319" s="3">
        <v>157643.95000000001</v>
      </c>
      <c r="T319" s="3">
        <v>278152.17200000002</v>
      </c>
      <c r="U319" s="3">
        <v>354464.28500000003</v>
      </c>
      <c r="V319" s="3">
        <v>1089077.8149999999</v>
      </c>
      <c r="W319" s="3">
        <v>0</v>
      </c>
      <c r="X319" s="3">
        <v>-4518332.1688291905</v>
      </c>
      <c r="Y319" s="3">
        <v>293.26881377873315</v>
      </c>
      <c r="Z319" s="3">
        <v>778008.58</v>
      </c>
      <c r="AA319" s="3">
        <v>-777715.3111862212</v>
      </c>
      <c r="AB319" s="3">
        <v>22040</v>
      </c>
      <c r="AC319" s="3">
        <v>22040</v>
      </c>
      <c r="AD319" s="3">
        <v>0</v>
      </c>
      <c r="AE319" s="3">
        <v>-5296047.480015411</v>
      </c>
      <c r="AF319" s="3">
        <v>0</v>
      </c>
      <c r="AG319" s="3">
        <v>-5296047.480015411</v>
      </c>
      <c r="AH319" s="3">
        <v>-5296047.480015411</v>
      </c>
      <c r="AI319" s="3">
        <v>20900000</v>
      </c>
      <c r="AJ319" s="3">
        <v>-2862897.523</v>
      </c>
    </row>
    <row r="320" spans="1:36" x14ac:dyDescent="0.2">
      <c r="A320" s="3" t="s">
        <v>75</v>
      </c>
      <c r="B320" s="3" t="s">
        <v>83</v>
      </c>
      <c r="C320" s="3" t="s">
        <v>87</v>
      </c>
      <c r="D320" s="3">
        <v>3</v>
      </c>
      <c r="E320" s="3">
        <v>2022</v>
      </c>
      <c r="F320" s="3">
        <v>1</v>
      </c>
      <c r="G320" s="3" t="s">
        <v>48</v>
      </c>
      <c r="H320" s="3" t="s">
        <v>46</v>
      </c>
      <c r="I320" s="5">
        <v>16719725</v>
      </c>
      <c r="J320" s="3">
        <v>732162.5</v>
      </c>
      <c r="K320" s="3">
        <v>15987562.5</v>
      </c>
      <c r="L320" s="3">
        <v>10011688.820745001</v>
      </c>
      <c r="M320" s="3">
        <v>5975873.6792549994</v>
      </c>
      <c r="N320" s="3">
        <v>10508033.885815816</v>
      </c>
      <c r="O320" s="3">
        <f t="shared" si="5"/>
        <v>65.726303717754448</v>
      </c>
      <c r="P320" s="3">
        <v>3899467</v>
      </c>
      <c r="Q320" s="3">
        <v>1449188.15</v>
      </c>
      <c r="R320" s="3">
        <v>2710019.1858158177</v>
      </c>
      <c r="S320" s="3">
        <v>212793.47500000001</v>
      </c>
      <c r="T320" s="3">
        <v>418774.89999999997</v>
      </c>
      <c r="U320" s="3">
        <v>662536.04999999993</v>
      </c>
      <c r="V320" s="3">
        <v>1155255.125</v>
      </c>
      <c r="W320" s="3">
        <v>0</v>
      </c>
      <c r="X320" s="3">
        <v>-4532160.2065608175</v>
      </c>
      <c r="Y320" s="3">
        <v>549.06523831058075</v>
      </c>
      <c r="Z320" s="3">
        <v>837208.95000000007</v>
      </c>
      <c r="AA320" s="3">
        <v>-836659.88476168946</v>
      </c>
      <c r="AB320" s="3">
        <v>25000</v>
      </c>
      <c r="AC320" s="3">
        <v>25000</v>
      </c>
      <c r="AD320" s="3">
        <v>0</v>
      </c>
      <c r="AE320" s="3">
        <v>-5368820.0913225068</v>
      </c>
      <c r="AF320" s="3">
        <v>0</v>
      </c>
      <c r="AG320" s="3">
        <v>-5368820.0913225068</v>
      </c>
      <c r="AH320" s="3">
        <v>-5368820.0913225068</v>
      </c>
      <c r="AI320" s="3">
        <v>25000000</v>
      </c>
      <c r="AJ320" s="3">
        <v>-4984158.5525753582</v>
      </c>
    </row>
    <row r="321" spans="1:36" x14ac:dyDescent="0.2">
      <c r="A321" s="3" t="s">
        <v>75</v>
      </c>
      <c r="B321" s="3" t="s">
        <v>83</v>
      </c>
      <c r="C321" s="3" t="s">
        <v>87</v>
      </c>
      <c r="D321" s="3">
        <v>3</v>
      </c>
      <c r="E321" s="3">
        <v>2022</v>
      </c>
      <c r="F321" s="3">
        <v>1</v>
      </c>
      <c r="G321" s="3" t="s">
        <v>39</v>
      </c>
      <c r="H321" s="3" t="s">
        <v>46</v>
      </c>
      <c r="I321" s="5">
        <v>73794702.295999989</v>
      </c>
      <c r="J321" s="3">
        <v>0</v>
      </c>
      <c r="K321" s="3">
        <v>73794702.295999989</v>
      </c>
      <c r="L321" s="3">
        <v>73732608.964000002</v>
      </c>
      <c r="M321" s="3">
        <v>62093.331999999995</v>
      </c>
      <c r="N321" s="3">
        <v>111726.82269778094</v>
      </c>
      <c r="O321" s="3">
        <f t="shared" si="5"/>
        <v>0.1514022270184523</v>
      </c>
      <c r="P321" s="3">
        <v>34814.78</v>
      </c>
      <c r="Q321" s="3">
        <v>12241.333999999999</v>
      </c>
      <c r="R321" s="3">
        <v>34994.61469778094</v>
      </c>
      <c r="S321" s="3">
        <v>5498.6959999999999</v>
      </c>
      <c r="T321" s="3">
        <v>7604.1839999999993</v>
      </c>
      <c r="U321" s="3">
        <v>6236.7759999999998</v>
      </c>
      <c r="V321" s="3">
        <v>10336.437999999998</v>
      </c>
      <c r="W321" s="3">
        <v>0</v>
      </c>
      <c r="X321" s="3">
        <v>-49633.490697780944</v>
      </c>
      <c r="Y321" s="3">
        <v>0</v>
      </c>
      <c r="Z321" s="3">
        <v>0</v>
      </c>
      <c r="AA321" s="3">
        <v>0</v>
      </c>
      <c r="AB321" s="3">
        <v>29456.126277110747</v>
      </c>
      <c r="AC321" s="3">
        <v>355.6</v>
      </c>
      <c r="AD321" s="3">
        <v>29100.526277110748</v>
      </c>
      <c r="AE321" s="3">
        <v>-20532.964420670192</v>
      </c>
      <c r="AF321" s="3">
        <v>0</v>
      </c>
      <c r="AG321" s="3">
        <v>-20532.964420670192</v>
      </c>
      <c r="AH321" s="3">
        <v>-20532.964420670192</v>
      </c>
      <c r="AI321" s="3">
        <v>153999999.99999997</v>
      </c>
      <c r="AJ321" s="3">
        <v>-321999.99999999994</v>
      </c>
    </row>
    <row r="322" spans="1:36" x14ac:dyDescent="0.2">
      <c r="A322" s="3" t="s">
        <v>75</v>
      </c>
      <c r="B322" s="3" t="s">
        <v>83</v>
      </c>
      <c r="C322" s="3" t="s">
        <v>87</v>
      </c>
      <c r="D322" s="3">
        <v>1</v>
      </c>
      <c r="E322" s="3">
        <v>2022</v>
      </c>
      <c r="F322" s="3">
        <v>1</v>
      </c>
      <c r="G322" s="3" t="s">
        <v>39</v>
      </c>
      <c r="H322" s="3" t="s">
        <v>46</v>
      </c>
      <c r="I322" s="5">
        <v>79553499.102000013</v>
      </c>
      <c r="J322" s="3">
        <v>0</v>
      </c>
      <c r="K322" s="3">
        <v>79553499.102000013</v>
      </c>
      <c r="L322" s="3">
        <v>79485680.846000001</v>
      </c>
      <c r="M322" s="3">
        <v>67818.255999999994</v>
      </c>
      <c r="N322" s="3">
        <v>103399.6493943902</v>
      </c>
      <c r="O322" s="3">
        <f t="shared" si="5"/>
        <v>0.129974986093089</v>
      </c>
      <c r="P322" s="3">
        <v>27354.47</v>
      </c>
      <c r="Q322" s="3">
        <v>9618.1910000000007</v>
      </c>
      <c r="R322" s="3">
        <v>27465.967394390194</v>
      </c>
      <c r="S322" s="3">
        <v>2076.4040000000005</v>
      </c>
      <c r="T322" s="3">
        <v>19747.629000000001</v>
      </c>
      <c r="U322" s="3">
        <v>7061.8570000000009</v>
      </c>
      <c r="V322" s="3">
        <v>10075.131000000001</v>
      </c>
      <c r="W322" s="3">
        <v>0</v>
      </c>
      <c r="X322" s="3">
        <v>-35581.393394390187</v>
      </c>
      <c r="Y322" s="3">
        <v>0</v>
      </c>
      <c r="Z322" s="3">
        <v>0</v>
      </c>
      <c r="AA322" s="3">
        <v>0</v>
      </c>
      <c r="AB322" s="3">
        <v>2915</v>
      </c>
      <c r="AC322" s="3">
        <v>1676.3999999999999</v>
      </c>
      <c r="AD322" s="3">
        <v>1238.6000000000001</v>
      </c>
      <c r="AE322" s="3">
        <v>-34342.793394390188</v>
      </c>
      <c r="AF322" s="3">
        <v>0</v>
      </c>
      <c r="AG322" s="3">
        <v>-34342.793394390188</v>
      </c>
      <c r="AH322" s="3">
        <v>-34342.793394390188</v>
      </c>
      <c r="AI322" s="3">
        <v>132000000.00000001</v>
      </c>
      <c r="AJ322" s="3">
        <v>-220000</v>
      </c>
    </row>
    <row r="323" spans="1:36" x14ac:dyDescent="0.2">
      <c r="A323" s="3" t="s">
        <v>75</v>
      </c>
      <c r="B323" s="3" t="s">
        <v>83</v>
      </c>
      <c r="C323" s="3" t="s">
        <v>87</v>
      </c>
      <c r="D323" s="3">
        <v>2</v>
      </c>
      <c r="E323" s="3">
        <v>2022</v>
      </c>
      <c r="F323" s="3">
        <v>1</v>
      </c>
      <c r="G323" s="3" t="s">
        <v>39</v>
      </c>
      <c r="H323" s="3" t="s">
        <v>46</v>
      </c>
      <c r="I323" s="5">
        <v>168315774.984</v>
      </c>
      <c r="J323" s="3">
        <v>0</v>
      </c>
      <c r="K323" s="3">
        <v>168315774.984</v>
      </c>
      <c r="L323" s="3">
        <v>168030736.24400002</v>
      </c>
      <c r="M323" s="3">
        <v>285038.74</v>
      </c>
      <c r="N323" s="3">
        <v>273444.58919950575</v>
      </c>
      <c r="O323" s="3">
        <f t="shared" si="5"/>
        <v>0.16245927586139758</v>
      </c>
      <c r="P323" s="3">
        <v>69629.56</v>
      </c>
      <c r="Q323" s="3">
        <v>24482.667999999998</v>
      </c>
      <c r="R323" s="3">
        <v>72233.145199505729</v>
      </c>
      <c r="S323" s="3">
        <v>5285.3919999999998</v>
      </c>
      <c r="T323" s="3">
        <v>55033.887999999999</v>
      </c>
      <c r="U323" s="3">
        <v>30148.047999999999</v>
      </c>
      <c r="V323" s="3">
        <v>16631.887999999999</v>
      </c>
      <c r="W323" s="3">
        <v>0</v>
      </c>
      <c r="X323" s="3">
        <v>11594.150800494261</v>
      </c>
      <c r="Y323" s="3">
        <v>0</v>
      </c>
      <c r="Z323" s="3">
        <v>0</v>
      </c>
      <c r="AA323" s="3">
        <v>0</v>
      </c>
      <c r="AB323" s="3">
        <v>96852.252554221486</v>
      </c>
      <c r="AC323" s="3">
        <v>22758.400000000001</v>
      </c>
      <c r="AD323" s="3">
        <v>74093.852554221492</v>
      </c>
      <c r="AE323" s="3">
        <v>85688.003354715765</v>
      </c>
      <c r="AF323" s="3">
        <v>0</v>
      </c>
      <c r="AG323" s="3">
        <v>85688.003354715765</v>
      </c>
      <c r="AH323" s="3">
        <v>85688.003354715765</v>
      </c>
      <c r="AI323" s="3">
        <v>307999999.99999994</v>
      </c>
      <c r="AJ323" s="3">
        <v>-657999.99999999988</v>
      </c>
    </row>
    <row r="324" spans="1:36" x14ac:dyDescent="0.2">
      <c r="A324" s="3" t="s">
        <v>75</v>
      </c>
      <c r="B324" s="3" t="s">
        <v>83</v>
      </c>
      <c r="C324" s="3" t="s">
        <v>88</v>
      </c>
      <c r="D324" s="3">
        <v>1</v>
      </c>
      <c r="E324" s="3">
        <v>2022</v>
      </c>
      <c r="F324" s="3">
        <v>1</v>
      </c>
      <c r="G324" s="3" t="s">
        <v>42</v>
      </c>
      <c r="H324" s="3" t="s">
        <v>40</v>
      </c>
      <c r="I324" s="5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 t="e">
        <f t="shared" si="5"/>
        <v>#DIV/0!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</row>
    <row r="325" spans="1:36" x14ac:dyDescent="0.2">
      <c r="A325" s="3" t="s">
        <v>75</v>
      </c>
      <c r="B325" s="3" t="s">
        <v>83</v>
      </c>
      <c r="C325" s="3" t="s">
        <v>88</v>
      </c>
      <c r="D325" s="3">
        <v>1</v>
      </c>
      <c r="E325" s="3">
        <v>2022</v>
      </c>
      <c r="F325" s="3">
        <v>1</v>
      </c>
      <c r="G325" s="3" t="s">
        <v>48</v>
      </c>
      <c r="H325" s="3" t="s">
        <v>46</v>
      </c>
      <c r="I325" s="5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 t="e">
        <f t="shared" si="5"/>
        <v>#DIV/0!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</row>
    <row r="326" spans="1:36" x14ac:dyDescent="0.2">
      <c r="A326" s="3" t="s">
        <v>75</v>
      </c>
      <c r="B326" s="3" t="s">
        <v>83</v>
      </c>
      <c r="C326" s="3" t="s">
        <v>88</v>
      </c>
      <c r="D326" s="3">
        <v>1</v>
      </c>
      <c r="E326" s="3">
        <v>2022</v>
      </c>
      <c r="F326" s="3">
        <v>1</v>
      </c>
      <c r="G326" s="3" t="s">
        <v>39</v>
      </c>
      <c r="H326" s="3" t="s">
        <v>40</v>
      </c>
      <c r="I326" s="5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 t="e">
        <f t="shared" si="5"/>
        <v>#DIV/0!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</row>
    <row r="327" spans="1:36" x14ac:dyDescent="0.2">
      <c r="A327" s="3" t="s">
        <v>75</v>
      </c>
      <c r="B327" s="3" t="s">
        <v>83</v>
      </c>
      <c r="C327" s="3" t="s">
        <v>88</v>
      </c>
      <c r="D327" s="3">
        <v>2</v>
      </c>
      <c r="E327" s="3">
        <v>2022</v>
      </c>
      <c r="F327" s="3">
        <v>1</v>
      </c>
      <c r="G327" s="3" t="s">
        <v>42</v>
      </c>
      <c r="H327" s="3" t="s">
        <v>40</v>
      </c>
      <c r="I327" s="5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 t="e">
        <f t="shared" si="5"/>
        <v>#DIV/0!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</row>
    <row r="328" spans="1:36" x14ac:dyDescent="0.2">
      <c r="A328" s="3" t="s">
        <v>75</v>
      </c>
      <c r="B328" s="3" t="s">
        <v>83</v>
      </c>
      <c r="C328" s="3" t="s">
        <v>88</v>
      </c>
      <c r="D328" s="3">
        <v>2</v>
      </c>
      <c r="E328" s="3">
        <v>2022</v>
      </c>
      <c r="F328" s="3">
        <v>1</v>
      </c>
      <c r="G328" s="3" t="s">
        <v>39</v>
      </c>
      <c r="H328" s="3" t="s">
        <v>40</v>
      </c>
      <c r="I328" s="5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 t="e">
        <f t="shared" si="5"/>
        <v>#DIV/0!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</row>
    <row r="329" spans="1:36" x14ac:dyDescent="0.2">
      <c r="A329" s="3" t="s">
        <v>75</v>
      </c>
      <c r="B329" s="3" t="s">
        <v>83</v>
      </c>
      <c r="C329" s="3" t="s">
        <v>88</v>
      </c>
      <c r="D329" s="3">
        <v>3</v>
      </c>
      <c r="E329" s="3">
        <v>2022</v>
      </c>
      <c r="F329" s="3">
        <v>1</v>
      </c>
      <c r="G329" s="3" t="s">
        <v>42</v>
      </c>
      <c r="H329" s="3" t="s">
        <v>40</v>
      </c>
      <c r="I329" s="5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 t="e">
        <f t="shared" si="5"/>
        <v>#DIV/0!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</row>
    <row r="330" spans="1:36" x14ac:dyDescent="0.2">
      <c r="A330" s="3" t="s">
        <v>75</v>
      </c>
      <c r="B330" s="3" t="s">
        <v>83</v>
      </c>
      <c r="C330" s="3" t="s">
        <v>88</v>
      </c>
      <c r="D330" s="3">
        <v>3</v>
      </c>
      <c r="E330" s="3">
        <v>2022</v>
      </c>
      <c r="F330" s="3">
        <v>1</v>
      </c>
      <c r="G330" s="3" t="s">
        <v>39</v>
      </c>
      <c r="H330" s="3" t="s">
        <v>40</v>
      </c>
      <c r="I330" s="5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 t="e">
        <f t="shared" si="5"/>
        <v>#DIV/0!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</row>
    <row r="331" spans="1:36" x14ac:dyDescent="0.2">
      <c r="A331" s="3" t="s">
        <v>75</v>
      </c>
      <c r="B331" s="3" t="s">
        <v>83</v>
      </c>
      <c r="C331" s="3" t="s">
        <v>88</v>
      </c>
      <c r="D331" s="3">
        <v>3</v>
      </c>
      <c r="E331" s="3">
        <v>2022</v>
      </c>
      <c r="F331" s="3">
        <v>1</v>
      </c>
      <c r="G331" s="3" t="s">
        <v>42</v>
      </c>
      <c r="H331" s="3" t="s">
        <v>46</v>
      </c>
      <c r="I331" s="5">
        <v>72756</v>
      </c>
      <c r="J331" s="3">
        <v>4644</v>
      </c>
      <c r="K331" s="3">
        <v>68112</v>
      </c>
      <c r="L331" s="3">
        <v>43653.599999999999</v>
      </c>
      <c r="M331" s="3">
        <v>24458.400000000001</v>
      </c>
      <c r="N331" s="3">
        <v>166622.11251494792</v>
      </c>
      <c r="O331" s="3">
        <f t="shared" si="5"/>
        <v>244.62959906469922</v>
      </c>
      <c r="P331" s="3">
        <v>42588</v>
      </c>
      <c r="Q331" s="3">
        <v>31278.600000000002</v>
      </c>
      <c r="R331" s="3">
        <v>54549.32451494789</v>
      </c>
      <c r="S331" s="3">
        <v>6340.0140000000001</v>
      </c>
      <c r="T331" s="3">
        <v>0</v>
      </c>
      <c r="U331" s="3">
        <v>2445.84</v>
      </c>
      <c r="V331" s="3">
        <v>29420.333999999999</v>
      </c>
      <c r="W331" s="3">
        <v>0</v>
      </c>
      <c r="X331" s="3">
        <v>-142163.7125149479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-142163.7125149479</v>
      </c>
      <c r="AF331" s="3">
        <v>0</v>
      </c>
      <c r="AG331" s="3">
        <v>-142163.7125149479</v>
      </c>
      <c r="AH331" s="3">
        <v>-142163.7125149479</v>
      </c>
      <c r="AI331" s="3">
        <v>360000</v>
      </c>
      <c r="AJ331" s="3">
        <v>90000</v>
      </c>
    </row>
    <row r="332" spans="1:36" x14ac:dyDescent="0.2">
      <c r="A332" s="3" t="s">
        <v>75</v>
      </c>
      <c r="B332" s="3" t="s">
        <v>83</v>
      </c>
      <c r="C332" s="3" t="s">
        <v>88</v>
      </c>
      <c r="D332" s="3">
        <v>1</v>
      </c>
      <c r="E332" s="3">
        <v>2022</v>
      </c>
      <c r="F332" s="3">
        <v>1</v>
      </c>
      <c r="G332" s="3" t="s">
        <v>42</v>
      </c>
      <c r="H332" s="3" t="s">
        <v>46</v>
      </c>
      <c r="I332" s="5">
        <v>152120</v>
      </c>
      <c r="J332" s="3">
        <v>15710</v>
      </c>
      <c r="K332" s="3">
        <v>136410</v>
      </c>
      <c r="L332" s="3">
        <v>94472</v>
      </c>
      <c r="M332" s="3">
        <v>41938</v>
      </c>
      <c r="N332" s="3">
        <v>99676.855660400324</v>
      </c>
      <c r="O332" s="3">
        <f t="shared" si="5"/>
        <v>73.071516502016223</v>
      </c>
      <c r="P332" s="3">
        <v>23660</v>
      </c>
      <c r="Q332" s="3">
        <v>17377</v>
      </c>
      <c r="R332" s="3">
        <v>27013.725660400312</v>
      </c>
      <c r="S332" s="3">
        <v>8450.73</v>
      </c>
      <c r="T332" s="3">
        <v>0</v>
      </c>
      <c r="U332" s="3">
        <v>4405.6900000000005</v>
      </c>
      <c r="V332" s="3">
        <v>18769.71</v>
      </c>
      <c r="W332" s="3">
        <v>0</v>
      </c>
      <c r="X332" s="3">
        <v>-57738.85566040031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-57738.85566040031</v>
      </c>
      <c r="AF332" s="3">
        <v>0</v>
      </c>
      <c r="AG332" s="3">
        <v>-57738.85566040031</v>
      </c>
      <c r="AH332" s="3">
        <v>-57738.85566040031</v>
      </c>
      <c r="AI332" s="3">
        <v>200000</v>
      </c>
      <c r="AJ332" s="3">
        <v>50000</v>
      </c>
    </row>
    <row r="333" spans="1:36" x14ac:dyDescent="0.2">
      <c r="A333" s="3" t="s">
        <v>75</v>
      </c>
      <c r="B333" s="3" t="s">
        <v>83</v>
      </c>
      <c r="C333" s="3" t="s">
        <v>88</v>
      </c>
      <c r="D333" s="3">
        <v>2</v>
      </c>
      <c r="E333" s="3">
        <v>2022</v>
      </c>
      <c r="F333" s="3">
        <v>1</v>
      </c>
      <c r="G333" s="3" t="s">
        <v>42</v>
      </c>
      <c r="H333" s="3" t="s">
        <v>46</v>
      </c>
      <c r="I333" s="5">
        <v>193008</v>
      </c>
      <c r="J333" s="3">
        <v>0</v>
      </c>
      <c r="K333" s="3">
        <v>193008</v>
      </c>
      <c r="L333" s="3">
        <v>126124.79999999999</v>
      </c>
      <c r="M333" s="3">
        <v>66883.199999999997</v>
      </c>
      <c r="N333" s="3">
        <v>115652.28022242474</v>
      </c>
      <c r="O333" s="3">
        <f t="shared" si="5"/>
        <v>59.92097748405493</v>
      </c>
      <c r="P333" s="3">
        <v>28392</v>
      </c>
      <c r="Q333" s="3">
        <v>20852.399999999998</v>
      </c>
      <c r="R333" s="3">
        <v>33499.140222424743</v>
      </c>
      <c r="S333" s="3">
        <v>11606.675999999998</v>
      </c>
      <c r="T333" s="3">
        <v>0</v>
      </c>
      <c r="U333" s="3">
        <v>6234.7199999999993</v>
      </c>
      <c r="V333" s="3">
        <v>15067.343999999997</v>
      </c>
      <c r="W333" s="3">
        <v>0</v>
      </c>
      <c r="X333" s="3">
        <v>-48769.080222424731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-48769.080222424731</v>
      </c>
      <c r="AF333" s="3">
        <v>0</v>
      </c>
      <c r="AG333" s="3">
        <v>-48769.080222424731</v>
      </c>
      <c r="AH333" s="3">
        <v>-48769.080222424731</v>
      </c>
      <c r="AI333" s="3">
        <v>240000</v>
      </c>
      <c r="AJ333" s="3">
        <v>60000</v>
      </c>
    </row>
    <row r="334" spans="1:36" x14ac:dyDescent="0.2">
      <c r="A334" s="3" t="s">
        <v>75</v>
      </c>
      <c r="B334" s="3" t="s">
        <v>83</v>
      </c>
      <c r="C334" s="3" t="s">
        <v>88</v>
      </c>
      <c r="D334" s="3">
        <v>3</v>
      </c>
      <c r="E334" s="3">
        <v>2022</v>
      </c>
      <c r="F334" s="3">
        <v>1</v>
      </c>
      <c r="G334" s="3" t="s">
        <v>48</v>
      </c>
      <c r="H334" s="3" t="s">
        <v>46</v>
      </c>
      <c r="I334" s="5">
        <v>9912734</v>
      </c>
      <c r="J334" s="3">
        <v>154375</v>
      </c>
      <c r="K334" s="3">
        <v>9758359</v>
      </c>
      <c r="L334" s="3">
        <v>6100285.3262294447</v>
      </c>
      <c r="M334" s="3">
        <v>3658073.6737705558</v>
      </c>
      <c r="N334" s="3">
        <v>6693200.4317057505</v>
      </c>
      <c r="O334" s="3">
        <f t="shared" si="5"/>
        <v>68.589405572245809</v>
      </c>
      <c r="P334" s="3">
        <v>1590134</v>
      </c>
      <c r="Q334" s="3">
        <v>751338.32799999998</v>
      </c>
      <c r="R334" s="3">
        <v>2331960.9257057505</v>
      </c>
      <c r="S334" s="3">
        <v>226248.41199999998</v>
      </c>
      <c r="T334" s="3">
        <v>326962.53200000001</v>
      </c>
      <c r="U334" s="3">
        <v>367548.272</v>
      </c>
      <c r="V334" s="3">
        <v>1099007.9620000001</v>
      </c>
      <c r="W334" s="3">
        <v>0</v>
      </c>
      <c r="X334" s="3">
        <v>-3035126.7579351943</v>
      </c>
      <c r="Y334" s="3">
        <v>255.12102117896268</v>
      </c>
      <c r="Z334" s="3">
        <v>638155.49199999997</v>
      </c>
      <c r="AA334" s="3">
        <v>-637900.37097882107</v>
      </c>
      <c r="AB334" s="3">
        <v>32994</v>
      </c>
      <c r="AC334" s="3">
        <v>32994</v>
      </c>
      <c r="AD334" s="3">
        <v>0</v>
      </c>
      <c r="AE334" s="3">
        <v>-3673027.1289140163</v>
      </c>
      <c r="AF334" s="3">
        <v>0</v>
      </c>
      <c r="AG334" s="3">
        <v>-3673027.1289140163</v>
      </c>
      <c r="AH334" s="3">
        <v>-3673027.1289140163</v>
      </c>
      <c r="AI334" s="3">
        <v>22100000</v>
      </c>
      <c r="AJ334" s="3">
        <v>-965867.80394803255</v>
      </c>
    </row>
    <row r="335" spans="1:36" x14ac:dyDescent="0.2">
      <c r="A335" s="3" t="s">
        <v>75</v>
      </c>
      <c r="B335" s="3" t="s">
        <v>83</v>
      </c>
      <c r="C335" s="3" t="s">
        <v>88</v>
      </c>
      <c r="D335" s="3">
        <v>2</v>
      </c>
      <c r="E335" s="3">
        <v>2022</v>
      </c>
      <c r="F335" s="3">
        <v>1</v>
      </c>
      <c r="G335" s="3" t="s">
        <v>48</v>
      </c>
      <c r="H335" s="3" t="s">
        <v>46</v>
      </c>
      <c r="I335" s="5">
        <v>13573960.600000001</v>
      </c>
      <c r="J335" s="3">
        <v>4001.9999999999991</v>
      </c>
      <c r="K335" s="3">
        <v>13569958.600000001</v>
      </c>
      <c r="L335" s="3">
        <v>9118425.6239999998</v>
      </c>
      <c r="M335" s="3">
        <v>4451532.9759999998</v>
      </c>
      <c r="N335" s="3">
        <v>5640998.7970074136</v>
      </c>
      <c r="O335" s="3">
        <f t="shared" si="5"/>
        <v>41.569756867256864</v>
      </c>
      <c r="P335" s="3">
        <v>1406657</v>
      </c>
      <c r="Q335" s="3">
        <v>753065.42499999993</v>
      </c>
      <c r="R335" s="3">
        <v>1880653.0580074142</v>
      </c>
      <c r="S335" s="3">
        <v>155505.48399999997</v>
      </c>
      <c r="T335" s="3">
        <v>244742.28700000001</v>
      </c>
      <c r="U335" s="3">
        <v>453496.359</v>
      </c>
      <c r="V335" s="3">
        <v>746879.18399999989</v>
      </c>
      <c r="W335" s="3">
        <v>0</v>
      </c>
      <c r="X335" s="3">
        <v>-1189465.8210074145</v>
      </c>
      <c r="Y335" s="3">
        <v>402.55720293399168</v>
      </c>
      <c r="Z335" s="3">
        <v>605588.43599999999</v>
      </c>
      <c r="AA335" s="3">
        <v>-605185.87879706593</v>
      </c>
      <c r="AB335" s="3">
        <v>8969.9999999999982</v>
      </c>
      <c r="AC335" s="3">
        <v>8969.9999999999982</v>
      </c>
      <c r="AD335" s="3">
        <v>0</v>
      </c>
      <c r="AE335" s="3">
        <v>-1794651.6998044802</v>
      </c>
      <c r="AF335" s="3">
        <v>0</v>
      </c>
      <c r="AG335" s="3">
        <v>-1794651.6998044802</v>
      </c>
      <c r="AH335" s="3">
        <v>-1794651.6998044802</v>
      </c>
      <c r="AI335" s="3">
        <v>24150000</v>
      </c>
      <c r="AJ335" s="3">
        <v>519125.95299674</v>
      </c>
    </row>
    <row r="336" spans="1:36" x14ac:dyDescent="0.2">
      <c r="A336" s="3" t="s">
        <v>75</v>
      </c>
      <c r="B336" s="3" t="s">
        <v>83</v>
      </c>
      <c r="C336" s="3" t="s">
        <v>88</v>
      </c>
      <c r="D336" s="3">
        <v>1</v>
      </c>
      <c r="E336" s="3">
        <v>2022</v>
      </c>
      <c r="F336" s="3">
        <v>1</v>
      </c>
      <c r="G336" s="3" t="s">
        <v>48</v>
      </c>
      <c r="H336" s="3" t="s">
        <v>46</v>
      </c>
      <c r="I336" s="5">
        <v>16384090</v>
      </c>
      <c r="J336" s="3">
        <v>751910</v>
      </c>
      <c r="K336" s="3">
        <v>15632180</v>
      </c>
      <c r="L336" s="3">
        <v>10020989.454379898</v>
      </c>
      <c r="M336" s="3">
        <v>5611190.5456201024</v>
      </c>
      <c r="N336" s="3">
        <v>4668595.0904842401</v>
      </c>
      <c r="O336" s="3">
        <f t="shared" ref="O336:O399" si="6">N336/K336*100</f>
        <v>29.865284883389521</v>
      </c>
      <c r="P336" s="3">
        <v>1039703</v>
      </c>
      <c r="Q336" s="3">
        <v>491259.67600000004</v>
      </c>
      <c r="R336" s="3">
        <v>1356930.7624842403</v>
      </c>
      <c r="S336" s="3">
        <v>131198.11199999999</v>
      </c>
      <c r="T336" s="3">
        <v>368537.13500000001</v>
      </c>
      <c r="U336" s="3">
        <v>455780.43799999997</v>
      </c>
      <c r="V336" s="3">
        <v>825185.96700000006</v>
      </c>
      <c r="W336" s="3">
        <v>0</v>
      </c>
      <c r="X336" s="3">
        <v>942595.45513586083</v>
      </c>
      <c r="Y336" s="3">
        <v>66.804886257848096</v>
      </c>
      <c r="Z336" s="3">
        <v>424056.05799999996</v>
      </c>
      <c r="AA336" s="3">
        <v>-423989.25311374216</v>
      </c>
      <c r="AB336" s="3">
        <v>30090</v>
      </c>
      <c r="AC336" s="3">
        <v>30090</v>
      </c>
      <c r="AD336" s="3">
        <v>0</v>
      </c>
      <c r="AE336" s="3">
        <v>518606.20202211884</v>
      </c>
      <c r="AF336" s="3">
        <v>0</v>
      </c>
      <c r="AG336" s="3">
        <v>518606.20202211884</v>
      </c>
      <c r="AH336" s="3">
        <v>518606.20202211884</v>
      </c>
      <c r="AI336" s="3">
        <v>15300000</v>
      </c>
      <c r="AJ336" s="3">
        <v>-389562.56500000006</v>
      </c>
    </row>
    <row r="337" spans="1:36" x14ac:dyDescent="0.2">
      <c r="A337" s="3" t="s">
        <v>75</v>
      </c>
      <c r="B337" s="3" t="s">
        <v>83</v>
      </c>
      <c r="C337" s="3" t="s">
        <v>88</v>
      </c>
      <c r="D337" s="3">
        <v>3</v>
      </c>
      <c r="E337" s="3">
        <v>2022</v>
      </c>
      <c r="F337" s="3">
        <v>1</v>
      </c>
      <c r="G337" s="3" t="s">
        <v>39</v>
      </c>
      <c r="H337" s="3" t="s">
        <v>46</v>
      </c>
      <c r="I337" s="5">
        <v>72671600.689999998</v>
      </c>
      <c r="J337" s="3">
        <v>0</v>
      </c>
      <c r="K337" s="3">
        <v>72671600.689999998</v>
      </c>
      <c r="L337" s="3">
        <v>72599461.939999998</v>
      </c>
      <c r="M337" s="3">
        <v>72138.75</v>
      </c>
      <c r="N337" s="3">
        <v>98075.379186156439</v>
      </c>
      <c r="O337" s="3">
        <f t="shared" si="6"/>
        <v>0.13495695464934507</v>
      </c>
      <c r="P337" s="3">
        <v>19250</v>
      </c>
      <c r="Q337" s="3">
        <v>8376.68</v>
      </c>
      <c r="R337" s="3">
        <v>35150.529186156447</v>
      </c>
      <c r="S337" s="3">
        <v>7099.24</v>
      </c>
      <c r="T337" s="3">
        <v>7683.2899999999991</v>
      </c>
      <c r="U337" s="3">
        <v>7233.48</v>
      </c>
      <c r="V337" s="3">
        <v>13282.16</v>
      </c>
      <c r="W337" s="3">
        <v>0</v>
      </c>
      <c r="X337" s="3">
        <v>-25936.629186156446</v>
      </c>
      <c r="Y337" s="3">
        <v>0</v>
      </c>
      <c r="Z337" s="3">
        <v>0</v>
      </c>
      <c r="AA337" s="3">
        <v>0</v>
      </c>
      <c r="AB337" s="3">
        <v>28939.498766277848</v>
      </c>
      <c r="AC337" s="3">
        <v>254</v>
      </c>
      <c r="AD337" s="3">
        <v>28685.498766277848</v>
      </c>
      <c r="AE337" s="3">
        <v>2748.8695801213989</v>
      </c>
      <c r="AF337" s="3">
        <v>0</v>
      </c>
      <c r="AG337" s="3">
        <v>2748.8695801213989</v>
      </c>
      <c r="AH337" s="3">
        <v>2748.8695801213989</v>
      </c>
      <c r="AI337" s="3">
        <v>110000000</v>
      </c>
      <c r="AJ337" s="3">
        <v>-235000</v>
      </c>
    </row>
    <row r="338" spans="1:36" x14ac:dyDescent="0.2">
      <c r="A338" s="3" t="s">
        <v>75</v>
      </c>
      <c r="B338" s="3" t="s">
        <v>83</v>
      </c>
      <c r="C338" s="3" t="s">
        <v>88</v>
      </c>
      <c r="D338" s="3">
        <v>1</v>
      </c>
      <c r="E338" s="3">
        <v>2022</v>
      </c>
      <c r="F338" s="3">
        <v>1</v>
      </c>
      <c r="G338" s="3" t="s">
        <v>39</v>
      </c>
      <c r="H338" s="3" t="s">
        <v>46</v>
      </c>
      <c r="I338" s="5">
        <v>141263263.42499998</v>
      </c>
      <c r="J338" s="3">
        <v>0</v>
      </c>
      <c r="K338" s="3">
        <v>141263263.42499998</v>
      </c>
      <c r="L338" s="3">
        <v>141122022.255</v>
      </c>
      <c r="M338" s="3">
        <v>141241.17000000001</v>
      </c>
      <c r="N338" s="3">
        <v>171663.56984002172</v>
      </c>
      <c r="O338" s="3">
        <f t="shared" si="6"/>
        <v>0.12152032005912279</v>
      </c>
      <c r="P338" s="3">
        <v>28875</v>
      </c>
      <c r="Q338" s="3">
        <v>12565.02</v>
      </c>
      <c r="R338" s="3">
        <v>49667.234840021709</v>
      </c>
      <c r="S338" s="3">
        <v>3088.86</v>
      </c>
      <c r="T338" s="3">
        <v>39670.605000000003</v>
      </c>
      <c r="U338" s="3">
        <v>14918.115</v>
      </c>
      <c r="V338" s="3">
        <v>22878.735000000001</v>
      </c>
      <c r="W338" s="3">
        <v>0</v>
      </c>
      <c r="X338" s="3">
        <v>-30422.399840021713</v>
      </c>
      <c r="Y338" s="3">
        <v>0</v>
      </c>
      <c r="Z338" s="3">
        <v>0</v>
      </c>
      <c r="AA338" s="3">
        <v>0</v>
      </c>
      <c r="AB338" s="3">
        <v>8775</v>
      </c>
      <c r="AC338" s="3">
        <v>4953</v>
      </c>
      <c r="AD338" s="3">
        <v>3822</v>
      </c>
      <c r="AE338" s="3">
        <v>-26600.39984002171</v>
      </c>
      <c r="AF338" s="3">
        <v>0</v>
      </c>
      <c r="AG338" s="3">
        <v>-26600.39984002171</v>
      </c>
      <c r="AH338" s="3">
        <v>-26600.39984002171</v>
      </c>
      <c r="AI338" s="3">
        <v>180000000</v>
      </c>
      <c r="AJ338" s="3">
        <v>-337500</v>
      </c>
    </row>
    <row r="339" spans="1:36" x14ac:dyDescent="0.2">
      <c r="A339" s="3" t="s">
        <v>75</v>
      </c>
      <c r="B339" s="3" t="s">
        <v>83</v>
      </c>
      <c r="C339" s="3" t="s">
        <v>88</v>
      </c>
      <c r="D339" s="3">
        <v>2</v>
      </c>
      <c r="E339" s="3">
        <v>2022</v>
      </c>
      <c r="F339" s="3">
        <v>1</v>
      </c>
      <c r="G339" s="3" t="s">
        <v>39</v>
      </c>
      <c r="H339" s="3" t="s">
        <v>46</v>
      </c>
      <c r="I339" s="5">
        <v>157497300.73800001</v>
      </c>
      <c r="J339" s="3">
        <v>0</v>
      </c>
      <c r="K339" s="3">
        <v>157497300.73800001</v>
      </c>
      <c r="L339" s="3">
        <v>157350683.574</v>
      </c>
      <c r="M339" s="3">
        <v>146617.16400000002</v>
      </c>
      <c r="N339" s="3">
        <v>183616.81359618958</v>
      </c>
      <c r="O339" s="3">
        <f t="shared" si="6"/>
        <v>0.11658410190892091</v>
      </c>
      <c r="P339" s="3">
        <v>34650</v>
      </c>
      <c r="Q339" s="3">
        <v>19928.376</v>
      </c>
      <c r="R339" s="3">
        <v>62787.367596189579</v>
      </c>
      <c r="S339" s="3">
        <v>3706.6320000000001</v>
      </c>
      <c r="T339" s="3">
        <v>28969.11</v>
      </c>
      <c r="U339" s="3">
        <v>15208.199999999999</v>
      </c>
      <c r="V339" s="3">
        <v>18367.128000000001</v>
      </c>
      <c r="W339" s="3">
        <v>0</v>
      </c>
      <c r="X339" s="3">
        <v>-36999.649596189563</v>
      </c>
      <c r="Y339" s="3">
        <v>0</v>
      </c>
      <c r="Z339" s="3">
        <v>0</v>
      </c>
      <c r="AA339" s="3">
        <v>0</v>
      </c>
      <c r="AB339" s="3">
        <v>64061.097779300122</v>
      </c>
      <c r="AC339" s="3">
        <v>7315.2</v>
      </c>
      <c r="AD339" s="3">
        <v>56745.897779300132</v>
      </c>
      <c r="AE339" s="3">
        <v>19746.248183110565</v>
      </c>
      <c r="AF339" s="3">
        <v>0</v>
      </c>
      <c r="AG339" s="3">
        <v>19746.248183110565</v>
      </c>
      <c r="AH339" s="3">
        <v>19746.248183110565</v>
      </c>
      <c r="AI339" s="3">
        <v>198000000</v>
      </c>
      <c r="AJ339" s="3">
        <v>-423000</v>
      </c>
    </row>
    <row r="340" spans="1:36" x14ac:dyDescent="0.2">
      <c r="A340" s="3" t="s">
        <v>75</v>
      </c>
      <c r="B340" s="3" t="s">
        <v>83</v>
      </c>
      <c r="C340" s="3" t="s">
        <v>89</v>
      </c>
      <c r="D340" s="3">
        <v>1</v>
      </c>
      <c r="E340" s="3">
        <v>2022</v>
      </c>
      <c r="F340" s="3">
        <v>1</v>
      </c>
      <c r="G340" s="3" t="s">
        <v>42</v>
      </c>
      <c r="H340" s="3" t="s">
        <v>40</v>
      </c>
      <c r="I340" s="5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 t="e">
        <f t="shared" si="6"/>
        <v>#DIV/0!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</row>
    <row r="341" spans="1:36" x14ac:dyDescent="0.2">
      <c r="A341" s="3" t="s">
        <v>75</v>
      </c>
      <c r="B341" s="3" t="s">
        <v>83</v>
      </c>
      <c r="C341" s="3" t="s">
        <v>89</v>
      </c>
      <c r="D341" s="3">
        <v>1</v>
      </c>
      <c r="E341" s="3">
        <v>2022</v>
      </c>
      <c r="F341" s="3">
        <v>1</v>
      </c>
      <c r="G341" s="3" t="s">
        <v>48</v>
      </c>
      <c r="H341" s="3" t="s">
        <v>46</v>
      </c>
      <c r="I341" s="5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 t="e">
        <f t="shared" si="6"/>
        <v>#DIV/0!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</row>
    <row r="342" spans="1:36" x14ac:dyDescent="0.2">
      <c r="A342" s="3" t="s">
        <v>75</v>
      </c>
      <c r="B342" s="3" t="s">
        <v>83</v>
      </c>
      <c r="C342" s="3" t="s">
        <v>89</v>
      </c>
      <c r="D342" s="3">
        <v>1</v>
      </c>
      <c r="E342" s="3">
        <v>2022</v>
      </c>
      <c r="F342" s="3">
        <v>1</v>
      </c>
      <c r="G342" s="3" t="s">
        <v>39</v>
      </c>
      <c r="H342" s="3" t="s">
        <v>40</v>
      </c>
      <c r="I342" s="5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 t="e">
        <f t="shared" si="6"/>
        <v>#DIV/0!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</row>
    <row r="343" spans="1:36" x14ac:dyDescent="0.2">
      <c r="A343" s="3" t="s">
        <v>75</v>
      </c>
      <c r="B343" s="3" t="s">
        <v>83</v>
      </c>
      <c r="C343" s="3" t="s">
        <v>89</v>
      </c>
      <c r="D343" s="3">
        <v>2</v>
      </c>
      <c r="E343" s="3">
        <v>2022</v>
      </c>
      <c r="F343" s="3">
        <v>1</v>
      </c>
      <c r="G343" s="3" t="s">
        <v>42</v>
      </c>
      <c r="H343" s="3" t="s">
        <v>40</v>
      </c>
      <c r="I343" s="5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 t="e">
        <f t="shared" si="6"/>
        <v>#DIV/0!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</row>
    <row r="344" spans="1:36" x14ac:dyDescent="0.2">
      <c r="A344" s="3" t="s">
        <v>75</v>
      </c>
      <c r="B344" s="3" t="s">
        <v>83</v>
      </c>
      <c r="C344" s="3" t="s">
        <v>89</v>
      </c>
      <c r="D344" s="3">
        <v>2</v>
      </c>
      <c r="E344" s="3">
        <v>2022</v>
      </c>
      <c r="F344" s="3">
        <v>1</v>
      </c>
      <c r="G344" s="3" t="s">
        <v>39</v>
      </c>
      <c r="H344" s="3" t="s">
        <v>40</v>
      </c>
      <c r="I344" s="5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 t="e">
        <f t="shared" si="6"/>
        <v>#DIV/0!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</row>
    <row r="345" spans="1:36" x14ac:dyDescent="0.2">
      <c r="A345" s="3" t="s">
        <v>75</v>
      </c>
      <c r="B345" s="3" t="s">
        <v>83</v>
      </c>
      <c r="C345" s="3" t="s">
        <v>89</v>
      </c>
      <c r="D345" s="3">
        <v>3</v>
      </c>
      <c r="E345" s="3">
        <v>2022</v>
      </c>
      <c r="F345" s="3">
        <v>1</v>
      </c>
      <c r="G345" s="3" t="s">
        <v>42</v>
      </c>
      <c r="H345" s="3" t="s">
        <v>40</v>
      </c>
      <c r="I345" s="5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 t="e">
        <f t="shared" si="6"/>
        <v>#DIV/0!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</row>
    <row r="346" spans="1:36" x14ac:dyDescent="0.2">
      <c r="A346" s="3" t="s">
        <v>75</v>
      </c>
      <c r="B346" s="3" t="s">
        <v>83</v>
      </c>
      <c r="C346" s="3" t="s">
        <v>89</v>
      </c>
      <c r="D346" s="3">
        <v>3</v>
      </c>
      <c r="E346" s="3">
        <v>2022</v>
      </c>
      <c r="F346" s="3">
        <v>1</v>
      </c>
      <c r="G346" s="3" t="s">
        <v>39</v>
      </c>
      <c r="H346" s="3" t="s">
        <v>40</v>
      </c>
      <c r="I346" s="5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 t="e">
        <f t="shared" si="6"/>
        <v>#DIV/0!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</row>
    <row r="347" spans="1:36" x14ac:dyDescent="0.2">
      <c r="A347" s="3" t="s">
        <v>75</v>
      </c>
      <c r="B347" s="3" t="s">
        <v>83</v>
      </c>
      <c r="C347" s="3" t="s">
        <v>89</v>
      </c>
      <c r="D347" s="3">
        <v>3</v>
      </c>
      <c r="E347" s="3">
        <v>2022</v>
      </c>
      <c r="F347" s="3">
        <v>1</v>
      </c>
      <c r="G347" s="3" t="s">
        <v>42</v>
      </c>
      <c r="H347" s="3" t="s">
        <v>46</v>
      </c>
      <c r="I347" s="5">
        <v>13500</v>
      </c>
      <c r="J347" s="3">
        <v>0</v>
      </c>
      <c r="K347" s="3">
        <v>13500</v>
      </c>
      <c r="L347" s="3">
        <v>8100</v>
      </c>
      <c r="M347" s="3">
        <v>5400</v>
      </c>
      <c r="N347" s="3">
        <v>455223.26432914822</v>
      </c>
      <c r="O347" s="3">
        <f t="shared" si="6"/>
        <v>3372.024180215913</v>
      </c>
      <c r="P347" s="3">
        <v>161138.9</v>
      </c>
      <c r="Q347" s="3">
        <v>73261.350000000006</v>
      </c>
      <c r="R347" s="3">
        <v>138909.96432914829</v>
      </c>
      <c r="S347" s="3">
        <v>9469.6749999999993</v>
      </c>
      <c r="T347" s="3">
        <v>4550.0249999999996</v>
      </c>
      <c r="U347" s="3">
        <v>540</v>
      </c>
      <c r="V347" s="3">
        <v>67353.350000000006</v>
      </c>
      <c r="W347" s="3">
        <v>0</v>
      </c>
      <c r="X347" s="3">
        <v>-449823.26432914822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-449823.26432914822</v>
      </c>
      <c r="AF347" s="3">
        <v>0</v>
      </c>
      <c r="AG347" s="3">
        <v>-449823.26432914822</v>
      </c>
      <c r="AH347" s="3">
        <v>-449823.26432914822</v>
      </c>
      <c r="AI347" s="3">
        <v>500000</v>
      </c>
      <c r="AJ347" s="3">
        <v>125000</v>
      </c>
    </row>
    <row r="348" spans="1:36" x14ac:dyDescent="0.2">
      <c r="A348" s="3" t="s">
        <v>75</v>
      </c>
      <c r="B348" s="3" t="s">
        <v>83</v>
      </c>
      <c r="C348" s="3" t="s">
        <v>89</v>
      </c>
      <c r="D348" s="3">
        <v>1</v>
      </c>
      <c r="E348" s="3">
        <v>2022</v>
      </c>
      <c r="F348" s="3">
        <v>1</v>
      </c>
      <c r="G348" s="3" t="s">
        <v>42</v>
      </c>
      <c r="H348" s="3" t="s">
        <v>46</v>
      </c>
      <c r="I348" s="5">
        <v>127751</v>
      </c>
      <c r="J348" s="3">
        <v>10691.199999999999</v>
      </c>
      <c r="K348" s="3">
        <v>117059.79999999999</v>
      </c>
      <c r="L348" s="3">
        <v>78730.600000000006</v>
      </c>
      <c r="M348" s="3">
        <v>38329.199999999997</v>
      </c>
      <c r="N348" s="3">
        <v>252814.71527286549</v>
      </c>
      <c r="O348" s="3">
        <f t="shared" si="6"/>
        <v>215.97056826755687</v>
      </c>
      <c r="P348" s="3">
        <v>83792.228000000017</v>
      </c>
      <c r="Q348" s="3">
        <v>38095.902000000002</v>
      </c>
      <c r="R348" s="3">
        <v>68735.599272865526</v>
      </c>
      <c r="S348" s="3">
        <v>10426.221000000001</v>
      </c>
      <c r="T348" s="3">
        <v>2366.0129999999999</v>
      </c>
      <c r="U348" s="3">
        <v>4588.0640000000003</v>
      </c>
      <c r="V348" s="3">
        <v>44810.688000000002</v>
      </c>
      <c r="W348" s="3">
        <v>0</v>
      </c>
      <c r="X348" s="3">
        <v>-214485.51527286554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-214485.51527286554</v>
      </c>
      <c r="AF348" s="3">
        <v>0</v>
      </c>
      <c r="AG348" s="3">
        <v>-214485.51527286554</v>
      </c>
      <c r="AH348" s="3">
        <v>-214485.51527286554</v>
      </c>
      <c r="AI348" s="3">
        <v>260000</v>
      </c>
      <c r="AJ348" s="3">
        <v>65000</v>
      </c>
    </row>
    <row r="349" spans="1:36" x14ac:dyDescent="0.2">
      <c r="A349" s="3" t="s">
        <v>75</v>
      </c>
      <c r="B349" s="3" t="s">
        <v>83</v>
      </c>
      <c r="C349" s="3" t="s">
        <v>89</v>
      </c>
      <c r="D349" s="3">
        <v>2</v>
      </c>
      <c r="E349" s="3">
        <v>2022</v>
      </c>
      <c r="F349" s="3">
        <v>1</v>
      </c>
      <c r="G349" s="3" t="s">
        <v>42</v>
      </c>
      <c r="H349" s="3" t="s">
        <v>46</v>
      </c>
      <c r="I349" s="5">
        <v>262512</v>
      </c>
      <c r="J349" s="3">
        <v>0</v>
      </c>
      <c r="K349" s="3">
        <v>262512</v>
      </c>
      <c r="L349" s="3">
        <v>161827.19999999998</v>
      </c>
      <c r="M349" s="3">
        <v>100684.79999999999</v>
      </c>
      <c r="N349" s="3">
        <v>334049.71401921153</v>
      </c>
      <c r="O349" s="3">
        <f t="shared" si="6"/>
        <v>127.25121671360225</v>
      </c>
      <c r="P349" s="3">
        <v>116020.00800000002</v>
      </c>
      <c r="Q349" s="3">
        <v>52748.172000000006</v>
      </c>
      <c r="R349" s="3">
        <v>94664.384019211502</v>
      </c>
      <c r="S349" s="3">
        <v>19457.766000000003</v>
      </c>
      <c r="T349" s="3">
        <v>3276.0179999999996</v>
      </c>
      <c r="U349" s="3">
        <v>9614.880000000001</v>
      </c>
      <c r="V349" s="3">
        <v>38268.486000000004</v>
      </c>
      <c r="W349" s="3">
        <v>0</v>
      </c>
      <c r="X349" s="3">
        <v>-233364.91401921154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-233364.91401921154</v>
      </c>
      <c r="AF349" s="3">
        <v>0</v>
      </c>
      <c r="AG349" s="3">
        <v>-233364.91401921154</v>
      </c>
      <c r="AH349" s="3">
        <v>-233364.91401921154</v>
      </c>
      <c r="AI349" s="3">
        <v>360000</v>
      </c>
      <c r="AJ349" s="3">
        <v>90000</v>
      </c>
    </row>
    <row r="350" spans="1:36" x14ac:dyDescent="0.2">
      <c r="A350" s="3" t="s">
        <v>75</v>
      </c>
      <c r="B350" s="3" t="s">
        <v>83</v>
      </c>
      <c r="C350" s="3" t="s">
        <v>89</v>
      </c>
      <c r="D350" s="3">
        <v>1</v>
      </c>
      <c r="E350" s="3">
        <v>2022</v>
      </c>
      <c r="F350" s="3">
        <v>1</v>
      </c>
      <c r="G350" s="3" t="s">
        <v>48</v>
      </c>
      <c r="H350" s="3" t="s">
        <v>46</v>
      </c>
      <c r="I350" s="5">
        <v>3174570</v>
      </c>
      <c r="J350" s="3">
        <v>4770</v>
      </c>
      <c r="K350" s="3">
        <v>3169800</v>
      </c>
      <c r="L350" s="3">
        <v>1918544</v>
      </c>
      <c r="M350" s="3">
        <v>1251256</v>
      </c>
      <c r="N350" s="3">
        <v>3036777.8192423312</v>
      </c>
      <c r="O350" s="3">
        <f t="shared" si="6"/>
        <v>95.803451928901865</v>
      </c>
      <c r="P350" s="3">
        <v>959211.1100000001</v>
      </c>
      <c r="Q350" s="3">
        <v>261804.67</v>
      </c>
      <c r="R350" s="3">
        <v>930274.98924233136</v>
      </c>
      <c r="S350" s="3">
        <v>63664.369999999995</v>
      </c>
      <c r="T350" s="3">
        <v>109914.31</v>
      </c>
      <c r="U350" s="3">
        <v>152201.62</v>
      </c>
      <c r="V350" s="3">
        <v>559706.75</v>
      </c>
      <c r="W350" s="3">
        <v>0</v>
      </c>
      <c r="X350" s="3">
        <v>-1785521.8192423312</v>
      </c>
      <c r="Y350" s="3">
        <v>89.089363857746548</v>
      </c>
      <c r="Z350" s="3">
        <v>202881.08000000002</v>
      </c>
      <c r="AA350" s="3">
        <v>-202791.99063614226</v>
      </c>
      <c r="AB350" s="3">
        <v>5200</v>
      </c>
      <c r="AC350" s="3">
        <v>5200</v>
      </c>
      <c r="AD350" s="3">
        <v>0</v>
      </c>
      <c r="AE350" s="3">
        <v>-1988313.8098784736</v>
      </c>
      <c r="AF350" s="3">
        <v>0</v>
      </c>
      <c r="AG350" s="3">
        <v>-1988313.8098784736</v>
      </c>
      <c r="AH350" s="3">
        <v>-1988313.8098784736</v>
      </c>
      <c r="AI350" s="3">
        <v>13000000</v>
      </c>
      <c r="AJ350" s="3">
        <v>546185.67000000004</v>
      </c>
    </row>
    <row r="351" spans="1:36" x14ac:dyDescent="0.2">
      <c r="A351" s="3" t="s">
        <v>75</v>
      </c>
      <c r="B351" s="3" t="s">
        <v>83</v>
      </c>
      <c r="C351" s="3" t="s">
        <v>89</v>
      </c>
      <c r="D351" s="3">
        <v>3</v>
      </c>
      <c r="E351" s="3">
        <v>2022</v>
      </c>
      <c r="F351" s="3">
        <v>1</v>
      </c>
      <c r="G351" s="3" t="s">
        <v>48</v>
      </c>
      <c r="H351" s="3" t="s">
        <v>46</v>
      </c>
      <c r="I351" s="5">
        <v>14683320</v>
      </c>
      <c r="J351" s="3">
        <v>892950</v>
      </c>
      <c r="K351" s="3">
        <v>13790370</v>
      </c>
      <c r="L351" s="3">
        <v>9035106.1893121358</v>
      </c>
      <c r="M351" s="3">
        <v>4755263.8106878642</v>
      </c>
      <c r="N351" s="3">
        <v>4886567.9564639917</v>
      </c>
      <c r="O351" s="3">
        <f t="shared" si="6"/>
        <v>35.434639944134865</v>
      </c>
      <c r="P351" s="3">
        <v>1438816.665</v>
      </c>
      <c r="Q351" s="3">
        <v>392707.005</v>
      </c>
      <c r="R351" s="3">
        <v>1451361.6314639919</v>
      </c>
      <c r="S351" s="3">
        <v>197888.97</v>
      </c>
      <c r="T351" s="3">
        <v>281047.14</v>
      </c>
      <c r="U351" s="3">
        <v>524225.22</v>
      </c>
      <c r="V351" s="3">
        <v>600521.32499999995</v>
      </c>
      <c r="W351" s="3">
        <v>0</v>
      </c>
      <c r="X351" s="3">
        <v>-131304.14577612787</v>
      </c>
      <c r="Y351" s="3">
        <v>467.64489973085585</v>
      </c>
      <c r="Z351" s="3">
        <v>284242.05000000005</v>
      </c>
      <c r="AA351" s="3">
        <v>-283774.40510026918</v>
      </c>
      <c r="AB351" s="3">
        <v>10350</v>
      </c>
      <c r="AC351" s="3">
        <v>10350</v>
      </c>
      <c r="AD351" s="3">
        <v>0</v>
      </c>
      <c r="AE351" s="3">
        <v>-415078.55087639706</v>
      </c>
      <c r="AF351" s="3">
        <v>0</v>
      </c>
      <c r="AG351" s="3">
        <v>-415078.55087639706</v>
      </c>
      <c r="AH351" s="3">
        <v>-415078.55087639706</v>
      </c>
      <c r="AI351" s="3">
        <v>11250000</v>
      </c>
      <c r="AJ351" s="3">
        <v>-1292582.7296538649</v>
      </c>
    </row>
    <row r="352" spans="1:36" x14ac:dyDescent="0.2">
      <c r="A352" s="3" t="s">
        <v>75</v>
      </c>
      <c r="B352" s="3" t="s">
        <v>83</v>
      </c>
      <c r="C352" s="3" t="s">
        <v>89</v>
      </c>
      <c r="D352" s="3">
        <v>2</v>
      </c>
      <c r="E352" s="3">
        <v>2022</v>
      </c>
      <c r="F352" s="3">
        <v>1</v>
      </c>
      <c r="G352" s="3" t="s">
        <v>48</v>
      </c>
      <c r="H352" s="3" t="s">
        <v>46</v>
      </c>
      <c r="I352" s="5">
        <v>16621108</v>
      </c>
      <c r="J352" s="3">
        <v>0</v>
      </c>
      <c r="K352" s="3">
        <v>16621108</v>
      </c>
      <c r="L352" s="3">
        <v>10257860.032</v>
      </c>
      <c r="M352" s="3">
        <v>6363247.9679999985</v>
      </c>
      <c r="N352" s="3">
        <v>7983476.1355230995</v>
      </c>
      <c r="O352" s="3">
        <f t="shared" si="6"/>
        <v>48.032153665827209</v>
      </c>
      <c r="P352" s="3">
        <v>2685791.108</v>
      </c>
      <c r="Q352" s="3">
        <v>733053.076</v>
      </c>
      <c r="R352" s="3">
        <v>2532023.2475230987</v>
      </c>
      <c r="S352" s="3">
        <v>225521.88399999999</v>
      </c>
      <c r="T352" s="3">
        <v>279941.25599999999</v>
      </c>
      <c r="U352" s="3">
        <v>642568.6399999999</v>
      </c>
      <c r="V352" s="3">
        <v>884576.92399999988</v>
      </c>
      <c r="W352" s="3">
        <v>0</v>
      </c>
      <c r="X352" s="3">
        <v>-1620228.1675230986</v>
      </c>
      <c r="Y352" s="3">
        <v>435.18117227707148</v>
      </c>
      <c r="Z352" s="3">
        <v>560792.62399999995</v>
      </c>
      <c r="AA352" s="3">
        <v>-560357.44282772287</v>
      </c>
      <c r="AB352" s="3">
        <v>17080</v>
      </c>
      <c r="AC352" s="3">
        <v>17080</v>
      </c>
      <c r="AD352" s="3">
        <v>0</v>
      </c>
      <c r="AE352" s="3">
        <v>-2180585.6103508216</v>
      </c>
      <c r="AF352" s="3">
        <v>0</v>
      </c>
      <c r="AG352" s="3">
        <v>-2180585.6103508216</v>
      </c>
      <c r="AH352" s="3">
        <v>-2180585.6103508216</v>
      </c>
      <c r="AI352" s="3">
        <v>39199999.999999993</v>
      </c>
      <c r="AJ352" s="3">
        <v>2164129.9001928535</v>
      </c>
    </row>
    <row r="353" spans="1:36" x14ac:dyDescent="0.2">
      <c r="A353" s="3" t="s">
        <v>75</v>
      </c>
      <c r="B353" s="3" t="s">
        <v>83</v>
      </c>
      <c r="C353" s="3" t="s">
        <v>89</v>
      </c>
      <c r="D353" s="3">
        <v>2</v>
      </c>
      <c r="E353" s="3">
        <v>2022</v>
      </c>
      <c r="F353" s="3">
        <v>1</v>
      </c>
      <c r="G353" s="3" t="s">
        <v>39</v>
      </c>
      <c r="H353" s="3" t="s">
        <v>46</v>
      </c>
      <c r="I353" s="5">
        <v>81597086.120000005</v>
      </c>
      <c r="J353" s="3">
        <v>0</v>
      </c>
      <c r="K353" s="3">
        <v>81597086.120000005</v>
      </c>
      <c r="L353" s="3">
        <v>81525808.980000004</v>
      </c>
      <c r="M353" s="3">
        <v>71277.14</v>
      </c>
      <c r="N353" s="3">
        <v>130138.14854861172</v>
      </c>
      <c r="O353" s="3">
        <f t="shared" si="6"/>
        <v>0.15948872041487516</v>
      </c>
      <c r="P353" s="3">
        <v>35000</v>
      </c>
      <c r="Q353" s="3">
        <v>9720.24</v>
      </c>
      <c r="R353" s="3">
        <v>47893.208548611721</v>
      </c>
      <c r="S353" s="3">
        <v>3174.66</v>
      </c>
      <c r="T353" s="3">
        <v>15311.130000000001</v>
      </c>
      <c r="U353" s="3">
        <v>7519.31</v>
      </c>
      <c r="V353" s="3">
        <v>11519.6</v>
      </c>
      <c r="W353" s="3">
        <v>0</v>
      </c>
      <c r="X353" s="3">
        <v>-58861.008548611717</v>
      </c>
      <c r="Y353" s="3">
        <v>0</v>
      </c>
      <c r="Z353" s="3">
        <v>0</v>
      </c>
      <c r="AA353" s="3">
        <v>0</v>
      </c>
      <c r="AB353" s="3">
        <v>31301.699173570312</v>
      </c>
      <c r="AC353" s="3">
        <v>5334</v>
      </c>
      <c r="AD353" s="3">
        <v>25967.699173570312</v>
      </c>
      <c r="AE353" s="3">
        <v>-32893.309375041412</v>
      </c>
      <c r="AF353" s="3">
        <v>0</v>
      </c>
      <c r="AG353" s="3">
        <v>-32893.309375041412</v>
      </c>
      <c r="AH353" s="3">
        <v>-32893.309375041412</v>
      </c>
      <c r="AI353" s="3">
        <v>100000000</v>
      </c>
      <c r="AJ353" s="3">
        <v>-350000</v>
      </c>
    </row>
    <row r="354" spans="1:36" x14ac:dyDescent="0.2">
      <c r="A354" s="3" t="s">
        <v>75</v>
      </c>
      <c r="B354" s="3" t="s">
        <v>83</v>
      </c>
      <c r="C354" s="3" t="s">
        <v>89</v>
      </c>
      <c r="D354" s="3">
        <v>3</v>
      </c>
      <c r="E354" s="3">
        <v>2022</v>
      </c>
      <c r="F354" s="3">
        <v>1</v>
      </c>
      <c r="G354" s="3" t="s">
        <v>39</v>
      </c>
      <c r="H354" s="3" t="s">
        <v>46</v>
      </c>
      <c r="I354" s="5">
        <v>99950270.816000015</v>
      </c>
      <c r="J354" s="3">
        <v>0</v>
      </c>
      <c r="K354" s="3">
        <v>99950270.816000015</v>
      </c>
      <c r="L354" s="3">
        <v>99837321.287000015</v>
      </c>
      <c r="M354" s="3">
        <v>112949.52900000001</v>
      </c>
      <c r="N354" s="3">
        <v>149255.64757491718</v>
      </c>
      <c r="O354" s="3">
        <f t="shared" si="6"/>
        <v>0.14932990811969302</v>
      </c>
      <c r="P354" s="3">
        <v>38500.000000000007</v>
      </c>
      <c r="Q354" s="3">
        <v>10692.264000000003</v>
      </c>
      <c r="R354" s="3">
        <v>51249.750574917191</v>
      </c>
      <c r="S354" s="3">
        <v>9168.1260000000002</v>
      </c>
      <c r="T354" s="3">
        <v>12272.447000000002</v>
      </c>
      <c r="U354" s="3">
        <v>11316.514000000003</v>
      </c>
      <c r="V354" s="3">
        <v>16056.546</v>
      </c>
      <c r="W354" s="3">
        <v>0</v>
      </c>
      <c r="X354" s="3">
        <v>-36306.118574917193</v>
      </c>
      <c r="Y354" s="3">
        <v>0</v>
      </c>
      <c r="Z354" s="3">
        <v>0</v>
      </c>
      <c r="AA354" s="3">
        <v>0</v>
      </c>
      <c r="AB354" s="3">
        <v>24751.869090927343</v>
      </c>
      <c r="AC354" s="3">
        <v>279.40000000000003</v>
      </c>
      <c r="AD354" s="3">
        <v>24472.469090927349</v>
      </c>
      <c r="AE354" s="3">
        <v>-11833.649483989844</v>
      </c>
      <c r="AF354" s="3">
        <v>0</v>
      </c>
      <c r="AG354" s="3">
        <v>-11833.649483989844</v>
      </c>
      <c r="AH354" s="3">
        <v>-11833.649483989844</v>
      </c>
      <c r="AI354" s="3">
        <v>93500000</v>
      </c>
      <c r="AJ354" s="3">
        <v>-328900.00000000006</v>
      </c>
    </row>
    <row r="355" spans="1:36" x14ac:dyDescent="0.2">
      <c r="A355" s="3" t="s">
        <v>75</v>
      </c>
      <c r="B355" s="3" t="s">
        <v>83</v>
      </c>
      <c r="C355" s="3" t="s">
        <v>89</v>
      </c>
      <c r="D355" s="3">
        <v>1</v>
      </c>
      <c r="E355" s="3">
        <v>2022</v>
      </c>
      <c r="F355" s="3">
        <v>1</v>
      </c>
      <c r="G355" s="3" t="s">
        <v>39</v>
      </c>
      <c r="H355" s="3" t="s">
        <v>46</v>
      </c>
      <c r="I355" s="5">
        <v>326917444.05000001</v>
      </c>
      <c r="J355" s="3">
        <v>0</v>
      </c>
      <c r="K355" s="3">
        <v>326917444.05000001</v>
      </c>
      <c r="L355" s="3">
        <v>326616286.35000002</v>
      </c>
      <c r="M355" s="3">
        <v>301157.7</v>
      </c>
      <c r="N355" s="3">
        <v>414749.96369839308</v>
      </c>
      <c r="O355" s="3">
        <f t="shared" si="6"/>
        <v>0.12686688069020863</v>
      </c>
      <c r="P355" s="3">
        <v>87500</v>
      </c>
      <c r="Q355" s="3">
        <v>24300.6</v>
      </c>
      <c r="R355" s="3">
        <v>117394.9636983931</v>
      </c>
      <c r="S355" s="3">
        <v>7936.65</v>
      </c>
      <c r="T355" s="3">
        <v>85802.8</v>
      </c>
      <c r="U355" s="3">
        <v>32814.65</v>
      </c>
      <c r="V355" s="3">
        <v>59000.299999999996</v>
      </c>
      <c r="W355" s="3">
        <v>0</v>
      </c>
      <c r="X355" s="3">
        <v>-113592.2636983931</v>
      </c>
      <c r="Y355" s="3">
        <v>0</v>
      </c>
      <c r="Z355" s="3">
        <v>0</v>
      </c>
      <c r="AA355" s="3">
        <v>0</v>
      </c>
      <c r="AB355" s="3">
        <v>43875</v>
      </c>
      <c r="AC355" s="3">
        <v>24765</v>
      </c>
      <c r="AD355" s="3">
        <v>19110</v>
      </c>
      <c r="AE355" s="3">
        <v>-94482.263698393101</v>
      </c>
      <c r="AF355" s="3">
        <v>0</v>
      </c>
      <c r="AG355" s="3">
        <v>-94482.263698393101</v>
      </c>
      <c r="AH355" s="3">
        <v>-94482.263698393101</v>
      </c>
      <c r="AI355" s="3">
        <v>200000000</v>
      </c>
      <c r="AJ355" s="3">
        <v>-705000</v>
      </c>
    </row>
    <row r="356" spans="1:36" x14ac:dyDescent="0.2">
      <c r="A356" s="3" t="s">
        <v>75</v>
      </c>
      <c r="B356" s="3" t="s">
        <v>83</v>
      </c>
      <c r="C356" s="3" t="s">
        <v>90</v>
      </c>
      <c r="D356" s="3">
        <v>1</v>
      </c>
      <c r="E356" s="3">
        <v>2022</v>
      </c>
      <c r="F356" s="3">
        <v>1</v>
      </c>
      <c r="G356" s="3" t="s">
        <v>42</v>
      </c>
      <c r="H356" s="3" t="s">
        <v>46</v>
      </c>
      <c r="I356" s="5">
        <v>43217</v>
      </c>
      <c r="J356" s="3">
        <v>4321.7</v>
      </c>
      <c r="K356" s="3">
        <v>38895.299999999996</v>
      </c>
      <c r="L356" s="3">
        <v>25930.2</v>
      </c>
      <c r="M356" s="3">
        <v>12965.1</v>
      </c>
      <c r="N356" s="3">
        <v>278346.52506449865</v>
      </c>
      <c r="O356" s="3">
        <f t="shared" si="6"/>
        <v>715.63023055355961</v>
      </c>
      <c r="P356" s="3">
        <v>126270.82799999998</v>
      </c>
      <c r="Q356" s="3">
        <v>0</v>
      </c>
      <c r="R356" s="3">
        <v>125766.66406449868</v>
      </c>
      <c r="S356" s="3">
        <v>2734.1480000000001</v>
      </c>
      <c r="T356" s="3">
        <v>0</v>
      </c>
      <c r="U356" s="3">
        <v>5474.2529999999988</v>
      </c>
      <c r="V356" s="3">
        <v>18100.632000000001</v>
      </c>
      <c r="W356" s="3">
        <v>0</v>
      </c>
      <c r="X356" s="3">
        <v>-265381.42506449868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-265381.42506449868</v>
      </c>
      <c r="AF356" s="3">
        <v>0</v>
      </c>
      <c r="AG356" s="3">
        <v>-265381.42506449868</v>
      </c>
      <c r="AH356" s="3">
        <v>-265381.42506449868</v>
      </c>
      <c r="AI356" s="3">
        <v>287499.99999999994</v>
      </c>
      <c r="AJ356" s="3">
        <v>68999.999999999985</v>
      </c>
    </row>
    <row r="357" spans="1:36" x14ac:dyDescent="0.2">
      <c r="A357" s="3" t="s">
        <v>75</v>
      </c>
      <c r="B357" s="3" t="s">
        <v>83</v>
      </c>
      <c r="C357" s="3" t="s">
        <v>90</v>
      </c>
      <c r="D357" s="3">
        <v>3</v>
      </c>
      <c r="E357" s="3">
        <v>2022</v>
      </c>
      <c r="F357" s="3">
        <v>1</v>
      </c>
      <c r="G357" s="3" t="s">
        <v>42</v>
      </c>
      <c r="H357" s="3" t="s">
        <v>46</v>
      </c>
      <c r="I357" s="5">
        <v>46280</v>
      </c>
      <c r="J357" s="3">
        <v>0</v>
      </c>
      <c r="K357" s="3">
        <v>46280</v>
      </c>
      <c r="L357" s="3">
        <v>31928</v>
      </c>
      <c r="M357" s="3">
        <v>14352</v>
      </c>
      <c r="N357" s="3">
        <v>341665.39471625863</v>
      </c>
      <c r="O357" s="3">
        <f t="shared" si="6"/>
        <v>738.25711909303936</v>
      </c>
      <c r="P357" s="3">
        <v>141082.05800000002</v>
      </c>
      <c r="Q357" s="3">
        <v>6998.9659999999994</v>
      </c>
      <c r="R357" s="3">
        <v>179162.01471625856</v>
      </c>
      <c r="S357" s="3">
        <v>3206.3460000000005</v>
      </c>
      <c r="T357" s="3">
        <v>0</v>
      </c>
      <c r="U357" s="3">
        <v>1435.2</v>
      </c>
      <c r="V357" s="3">
        <v>9780.81</v>
      </c>
      <c r="W357" s="3">
        <v>0</v>
      </c>
      <c r="X357" s="3">
        <v>-327313.39471625857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-327313.39471625857</v>
      </c>
      <c r="AF357" s="3">
        <v>0</v>
      </c>
      <c r="AG357" s="3">
        <v>-327313.39471625857</v>
      </c>
      <c r="AH357" s="3">
        <v>-327313.39471625857</v>
      </c>
      <c r="AI357" s="3">
        <v>325000</v>
      </c>
      <c r="AJ357" s="3">
        <v>78000</v>
      </c>
    </row>
    <row r="358" spans="1:36" x14ac:dyDescent="0.2">
      <c r="A358" s="3" t="s">
        <v>75</v>
      </c>
      <c r="B358" s="3" t="s">
        <v>83</v>
      </c>
      <c r="C358" s="3" t="s">
        <v>90</v>
      </c>
      <c r="D358" s="3">
        <v>2</v>
      </c>
      <c r="E358" s="3">
        <v>2022</v>
      </c>
      <c r="F358" s="3">
        <v>1</v>
      </c>
      <c r="G358" s="3" t="s">
        <v>42</v>
      </c>
      <c r="H358" s="3" t="s">
        <v>46</v>
      </c>
      <c r="I358" s="5">
        <v>402000</v>
      </c>
      <c r="J358" s="3">
        <v>0</v>
      </c>
      <c r="K358" s="3">
        <v>402000</v>
      </c>
      <c r="L358" s="3">
        <v>274800</v>
      </c>
      <c r="M358" s="3">
        <v>127200</v>
      </c>
      <c r="N358" s="3">
        <v>314060.58944454481</v>
      </c>
      <c r="O358" s="3">
        <f t="shared" si="6"/>
        <v>78.124524737448951</v>
      </c>
      <c r="P358" s="3">
        <v>132286.96799999999</v>
      </c>
      <c r="Q358" s="3">
        <v>0</v>
      </c>
      <c r="R358" s="3">
        <v>143626.9894445448</v>
      </c>
      <c r="S358" s="3">
        <v>20923.703999999998</v>
      </c>
      <c r="T358" s="3">
        <v>0</v>
      </c>
      <c r="U358" s="3">
        <v>12720</v>
      </c>
      <c r="V358" s="3">
        <v>4502.9279999999999</v>
      </c>
      <c r="W358" s="3">
        <v>0</v>
      </c>
      <c r="X358" s="3">
        <v>-186860.58944454478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-186860.58944454478</v>
      </c>
      <c r="AF358" s="3">
        <v>0</v>
      </c>
      <c r="AG358" s="3">
        <v>-186860.58944454478</v>
      </c>
      <c r="AH358" s="3">
        <v>-186860.58944454478</v>
      </c>
      <c r="AI358" s="3">
        <v>300000</v>
      </c>
      <c r="AJ358" s="3">
        <v>72000</v>
      </c>
    </row>
    <row r="359" spans="1:36" x14ac:dyDescent="0.2">
      <c r="A359" s="3" t="s">
        <v>75</v>
      </c>
      <c r="B359" s="3" t="s">
        <v>83</v>
      </c>
      <c r="C359" s="3" t="s">
        <v>90</v>
      </c>
      <c r="D359" s="3">
        <v>1</v>
      </c>
      <c r="E359" s="3">
        <v>2022</v>
      </c>
      <c r="F359" s="3">
        <v>1</v>
      </c>
      <c r="G359" s="3" t="s">
        <v>48</v>
      </c>
      <c r="H359" s="3" t="s">
        <v>46</v>
      </c>
      <c r="I359" s="5">
        <v>3849588</v>
      </c>
      <c r="J359" s="3">
        <v>118512</v>
      </c>
      <c r="K359" s="3">
        <v>3731076</v>
      </c>
      <c r="L359" s="3">
        <v>2421317.034</v>
      </c>
      <c r="M359" s="3">
        <v>1309758.966</v>
      </c>
      <c r="N359" s="3">
        <v>1469862.6364064589</v>
      </c>
      <c r="O359" s="3">
        <f t="shared" si="6"/>
        <v>39.395140608405157</v>
      </c>
      <c r="P359" s="3">
        <v>445224.20399999997</v>
      </c>
      <c r="Q359" s="3">
        <v>243446.03999999998</v>
      </c>
      <c r="R359" s="3">
        <v>442401.43240645877</v>
      </c>
      <c r="S359" s="3">
        <v>67757.489999999991</v>
      </c>
      <c r="T359" s="3">
        <v>59827.733999999997</v>
      </c>
      <c r="U359" s="3">
        <v>142161.85800000001</v>
      </c>
      <c r="V359" s="3">
        <v>69043.877999999997</v>
      </c>
      <c r="W359" s="3">
        <v>0</v>
      </c>
      <c r="X359" s="3">
        <v>-160103.6704064589</v>
      </c>
      <c r="Y359" s="3">
        <v>64.911899355884813</v>
      </c>
      <c r="Z359" s="3">
        <v>190216.152</v>
      </c>
      <c r="AA359" s="3">
        <v>-190151.24010064412</v>
      </c>
      <c r="AB359" s="3">
        <v>0</v>
      </c>
      <c r="AC359" s="3">
        <v>0</v>
      </c>
      <c r="AD359" s="3">
        <v>0</v>
      </c>
      <c r="AE359" s="3">
        <v>-350254.91050710308</v>
      </c>
      <c r="AF359" s="3">
        <v>0</v>
      </c>
      <c r="AG359" s="3">
        <v>-350254.91050710308</v>
      </c>
      <c r="AH359" s="3">
        <v>-350254.91050710308</v>
      </c>
      <c r="AI359" s="3">
        <v>7200000</v>
      </c>
      <c r="AJ359" s="3">
        <v>-766345.57409847854</v>
      </c>
    </row>
    <row r="360" spans="1:36" x14ac:dyDescent="0.2">
      <c r="A360" s="3" t="s">
        <v>75</v>
      </c>
      <c r="B360" s="3" t="s">
        <v>83</v>
      </c>
      <c r="C360" s="3" t="s">
        <v>90</v>
      </c>
      <c r="D360" s="3">
        <v>2</v>
      </c>
      <c r="E360" s="3">
        <v>2022</v>
      </c>
      <c r="F360" s="3">
        <v>1</v>
      </c>
      <c r="G360" s="3" t="s">
        <v>48</v>
      </c>
      <c r="H360" s="3" t="s">
        <v>46</v>
      </c>
      <c r="I360" s="5">
        <v>4386224</v>
      </c>
      <c r="J360" s="3">
        <v>13584</v>
      </c>
      <c r="K360" s="3">
        <v>4372640</v>
      </c>
      <c r="L360" s="3">
        <v>2880148.3360000001</v>
      </c>
      <c r="M360" s="3">
        <v>1492491.6640000001</v>
      </c>
      <c r="N360" s="3">
        <v>1344937.7661423809</v>
      </c>
      <c r="O360" s="3">
        <f t="shared" si="6"/>
        <v>30.758026412930882</v>
      </c>
      <c r="P360" s="3">
        <v>397335.04000000004</v>
      </c>
      <c r="Q360" s="3">
        <v>216396.48</v>
      </c>
      <c r="R360" s="3">
        <v>431007.78214238107</v>
      </c>
      <c r="S360" s="3">
        <v>70314.703999999998</v>
      </c>
      <c r="T360" s="3">
        <v>29109.152000000002</v>
      </c>
      <c r="U360" s="3">
        <v>182608.03199999998</v>
      </c>
      <c r="V360" s="3">
        <v>18166.576000000001</v>
      </c>
      <c r="W360" s="3">
        <v>0</v>
      </c>
      <c r="X360" s="3">
        <v>147553.89785761904</v>
      </c>
      <c r="Y360" s="3">
        <v>203.15970940154517</v>
      </c>
      <c r="Z360" s="3">
        <v>172780.96000000002</v>
      </c>
      <c r="AA360" s="3">
        <v>-172577.80029059848</v>
      </c>
      <c r="AB360" s="3">
        <v>0</v>
      </c>
      <c r="AC360" s="3">
        <v>0</v>
      </c>
      <c r="AD360" s="3">
        <v>0</v>
      </c>
      <c r="AE360" s="3">
        <v>-25023.902432979408</v>
      </c>
      <c r="AF360" s="3">
        <v>0</v>
      </c>
      <c r="AG360" s="3">
        <v>-25023.902432979408</v>
      </c>
      <c r="AH360" s="3">
        <v>-25023.902432979408</v>
      </c>
      <c r="AI360" s="3">
        <v>5600000</v>
      </c>
      <c r="AJ360" s="3">
        <v>-681196.06586531433</v>
      </c>
    </row>
    <row r="361" spans="1:36" x14ac:dyDescent="0.2">
      <c r="A361" s="3" t="s">
        <v>75</v>
      </c>
      <c r="B361" s="3" t="s">
        <v>83</v>
      </c>
      <c r="C361" s="3" t="s">
        <v>90</v>
      </c>
      <c r="D361" s="3">
        <v>3</v>
      </c>
      <c r="E361" s="3">
        <v>2022</v>
      </c>
      <c r="F361" s="3">
        <v>1</v>
      </c>
      <c r="G361" s="3" t="s">
        <v>48</v>
      </c>
      <c r="H361" s="3" t="s">
        <v>46</v>
      </c>
      <c r="I361" s="5">
        <v>11913950</v>
      </c>
      <c r="J361" s="3">
        <v>431600</v>
      </c>
      <c r="K361" s="3">
        <v>11482350</v>
      </c>
      <c r="L361" s="3">
        <v>6867216.6000000006</v>
      </c>
      <c r="M361" s="3">
        <v>4615133.4000000004</v>
      </c>
      <c r="N361" s="3">
        <v>2681042.3646766441</v>
      </c>
      <c r="O361" s="3">
        <f t="shared" si="6"/>
        <v>23.349247886335498</v>
      </c>
      <c r="P361" s="3">
        <v>611180.55000000005</v>
      </c>
      <c r="Q361" s="3">
        <v>368439.72500000003</v>
      </c>
      <c r="R361" s="3">
        <v>775938.81467664428</v>
      </c>
      <c r="S361" s="3">
        <v>161374.77500000002</v>
      </c>
      <c r="T361" s="3">
        <v>195958.84999999998</v>
      </c>
      <c r="U361" s="3">
        <v>518525.7</v>
      </c>
      <c r="V361" s="3">
        <v>49623.950000000004</v>
      </c>
      <c r="W361" s="3">
        <v>0</v>
      </c>
      <c r="X361" s="3">
        <v>1934091.0353233558</v>
      </c>
      <c r="Y361" s="3">
        <v>583.28446158172267</v>
      </c>
      <c r="Z361" s="3">
        <v>234978.25</v>
      </c>
      <c r="AA361" s="3">
        <v>-234394.9655384183</v>
      </c>
      <c r="AB361" s="3">
        <v>0</v>
      </c>
      <c r="AC361" s="3">
        <v>0</v>
      </c>
      <c r="AD361" s="3">
        <v>0</v>
      </c>
      <c r="AE361" s="3">
        <v>1699696.0697849374</v>
      </c>
      <c r="AF361" s="3">
        <v>0</v>
      </c>
      <c r="AG361" s="3">
        <v>1699696.0697849374</v>
      </c>
      <c r="AH361" s="3">
        <v>1699696.0697849374</v>
      </c>
      <c r="AI361" s="3">
        <v>8750000</v>
      </c>
      <c r="AJ361" s="3">
        <v>-689368.8529145536</v>
      </c>
    </row>
    <row r="362" spans="1:36" x14ac:dyDescent="0.2">
      <c r="A362" s="3" t="s">
        <v>75</v>
      </c>
      <c r="B362" s="3" t="s">
        <v>83</v>
      </c>
      <c r="C362" s="3" t="s">
        <v>91</v>
      </c>
      <c r="D362" s="3">
        <v>1</v>
      </c>
      <c r="E362" s="3">
        <v>2022</v>
      </c>
      <c r="F362" s="3">
        <v>1</v>
      </c>
      <c r="G362" s="3" t="s">
        <v>42</v>
      </c>
      <c r="H362" s="3" t="s">
        <v>46</v>
      </c>
      <c r="I362" s="5">
        <v>12000</v>
      </c>
      <c r="J362" s="3">
        <v>0</v>
      </c>
      <c r="K362" s="3">
        <v>12000</v>
      </c>
      <c r="L362" s="3">
        <v>8400</v>
      </c>
      <c r="M362" s="3">
        <v>3600</v>
      </c>
      <c r="N362" s="3">
        <v>133018.10606271325</v>
      </c>
      <c r="O362" s="3">
        <f t="shared" si="6"/>
        <v>1108.4842171892769</v>
      </c>
      <c r="P362" s="3">
        <v>57681.75</v>
      </c>
      <c r="Q362" s="3">
        <v>608.68499999999995</v>
      </c>
      <c r="R362" s="3">
        <v>62220.761062713224</v>
      </c>
      <c r="S362" s="3">
        <v>986.11500000000001</v>
      </c>
      <c r="T362" s="3">
        <v>0</v>
      </c>
      <c r="U362" s="3">
        <v>2501.3849999999998</v>
      </c>
      <c r="V362" s="3">
        <v>9019.41</v>
      </c>
      <c r="W362" s="3">
        <v>0</v>
      </c>
      <c r="X362" s="3">
        <v>-129418.10606271325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-129418.10606271325</v>
      </c>
      <c r="AF362" s="3">
        <v>0</v>
      </c>
      <c r="AG362" s="3">
        <v>-129418.10606271325</v>
      </c>
      <c r="AH362" s="3">
        <v>-129418.10606271325</v>
      </c>
      <c r="AI362" s="3">
        <v>187500</v>
      </c>
      <c r="AJ362" s="3">
        <v>45000</v>
      </c>
    </row>
    <row r="363" spans="1:36" x14ac:dyDescent="0.2">
      <c r="A363" s="3" t="s">
        <v>75</v>
      </c>
      <c r="B363" s="3" t="s">
        <v>83</v>
      </c>
      <c r="C363" s="3" t="s">
        <v>91</v>
      </c>
      <c r="D363" s="3">
        <v>3</v>
      </c>
      <c r="E363" s="3">
        <v>2022</v>
      </c>
      <c r="F363" s="3">
        <v>1</v>
      </c>
      <c r="G363" s="3" t="s">
        <v>42</v>
      </c>
      <c r="H363" s="3" t="s">
        <v>46</v>
      </c>
      <c r="I363" s="5">
        <v>46032</v>
      </c>
      <c r="J363" s="3">
        <v>0</v>
      </c>
      <c r="K363" s="3">
        <v>46032</v>
      </c>
      <c r="L363" s="3">
        <v>28739.200000000001</v>
      </c>
      <c r="M363" s="3">
        <v>17292.8</v>
      </c>
      <c r="N363" s="3">
        <v>131646.97128328239</v>
      </c>
      <c r="O363" s="3">
        <f t="shared" si="6"/>
        <v>285.99011835958112</v>
      </c>
      <c r="P363" s="3">
        <v>55379.505999999994</v>
      </c>
      <c r="Q363" s="3">
        <v>568.10599999999999</v>
      </c>
      <c r="R363" s="3">
        <v>65943.431283282407</v>
      </c>
      <c r="S363" s="3">
        <v>2661.9739999999997</v>
      </c>
      <c r="T363" s="3">
        <v>0</v>
      </c>
      <c r="U363" s="3">
        <v>1729.28</v>
      </c>
      <c r="V363" s="3">
        <v>5364.674</v>
      </c>
      <c r="W363" s="3">
        <v>0</v>
      </c>
      <c r="X363" s="3">
        <v>-114354.1712832824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-114354.1712832824</v>
      </c>
      <c r="AF363" s="3">
        <v>0</v>
      </c>
      <c r="AG363" s="3">
        <v>-114354.1712832824</v>
      </c>
      <c r="AH363" s="3">
        <v>-114354.1712832824</v>
      </c>
      <c r="AI363" s="3">
        <v>175000</v>
      </c>
      <c r="AJ363" s="3">
        <v>42000</v>
      </c>
    </row>
    <row r="364" spans="1:36" x14ac:dyDescent="0.2">
      <c r="A364" s="3" t="s">
        <v>75</v>
      </c>
      <c r="B364" s="3" t="s">
        <v>83</v>
      </c>
      <c r="C364" s="3" t="s">
        <v>91</v>
      </c>
      <c r="D364" s="3">
        <v>2</v>
      </c>
      <c r="E364" s="3">
        <v>2022</v>
      </c>
      <c r="F364" s="3">
        <v>1</v>
      </c>
      <c r="G364" s="3" t="s">
        <v>42</v>
      </c>
      <c r="H364" s="3" t="s">
        <v>46</v>
      </c>
      <c r="I364" s="5">
        <v>195000</v>
      </c>
      <c r="J364" s="3">
        <v>0</v>
      </c>
      <c r="K364" s="3">
        <v>195000</v>
      </c>
      <c r="L364" s="3">
        <v>133640</v>
      </c>
      <c r="M364" s="3">
        <v>61360</v>
      </c>
      <c r="N364" s="3">
        <v>239286.47014068774</v>
      </c>
      <c r="O364" s="3">
        <f t="shared" si="6"/>
        <v>122.71101032855782</v>
      </c>
      <c r="P364" s="3">
        <v>100263.228</v>
      </c>
      <c r="Q364" s="3">
        <v>1055.0540000000001</v>
      </c>
      <c r="R364" s="3">
        <v>116717.11414068774</v>
      </c>
      <c r="S364" s="3">
        <v>10419.266</v>
      </c>
      <c r="T364" s="3">
        <v>0</v>
      </c>
      <c r="U364" s="3">
        <v>6136</v>
      </c>
      <c r="V364" s="3">
        <v>4695.808</v>
      </c>
      <c r="W364" s="3">
        <v>0</v>
      </c>
      <c r="X364" s="3">
        <v>-177926.47014068774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-177926.47014068774</v>
      </c>
      <c r="AF364" s="3">
        <v>0</v>
      </c>
      <c r="AG364" s="3">
        <v>-177926.47014068774</v>
      </c>
      <c r="AH364" s="3">
        <v>-177926.47014068774</v>
      </c>
      <c r="AI364" s="3">
        <v>325000</v>
      </c>
      <c r="AJ364" s="3">
        <v>78000</v>
      </c>
    </row>
    <row r="365" spans="1:36" x14ac:dyDescent="0.2">
      <c r="A365" s="3" t="s">
        <v>75</v>
      </c>
      <c r="B365" s="3" t="s">
        <v>83</v>
      </c>
      <c r="C365" s="3" t="s">
        <v>91</v>
      </c>
      <c r="D365" s="3">
        <v>2</v>
      </c>
      <c r="E365" s="3">
        <v>2022</v>
      </c>
      <c r="F365" s="3">
        <v>1</v>
      </c>
      <c r="G365" s="3" t="s">
        <v>48</v>
      </c>
      <c r="H365" s="3" t="s">
        <v>46</v>
      </c>
      <c r="I365" s="5">
        <v>567030</v>
      </c>
      <c r="J365" s="3">
        <v>0</v>
      </c>
      <c r="K365" s="3">
        <v>567030</v>
      </c>
      <c r="L365" s="3">
        <v>334565.65000000002</v>
      </c>
      <c r="M365" s="3">
        <v>232464.35</v>
      </c>
      <c r="N365" s="3">
        <v>695165.49933560786</v>
      </c>
      <c r="O365" s="3">
        <f t="shared" si="6"/>
        <v>122.59765785507078</v>
      </c>
      <c r="P365" s="3">
        <v>231562.94</v>
      </c>
      <c r="Q365" s="3">
        <v>130512.94</v>
      </c>
      <c r="R365" s="3">
        <v>269276.30933560786</v>
      </c>
      <c r="S365" s="3">
        <v>24302.269999999997</v>
      </c>
      <c r="T365" s="3">
        <v>4607.37</v>
      </c>
      <c r="U365" s="3">
        <v>24879.239999999998</v>
      </c>
      <c r="V365" s="3">
        <v>10024.43</v>
      </c>
      <c r="W365" s="3">
        <v>0</v>
      </c>
      <c r="X365" s="3">
        <v>-462701.14933560789</v>
      </c>
      <c r="Y365" s="3">
        <v>27.105890077390676</v>
      </c>
      <c r="Z365" s="3">
        <v>80877.48</v>
      </c>
      <c r="AA365" s="3">
        <v>-80850.374109922617</v>
      </c>
      <c r="AB365" s="3">
        <v>0</v>
      </c>
      <c r="AC365" s="3">
        <v>0</v>
      </c>
      <c r="AD365" s="3">
        <v>0</v>
      </c>
      <c r="AE365" s="3">
        <v>-543551.52344553056</v>
      </c>
      <c r="AF365" s="3">
        <v>0</v>
      </c>
      <c r="AG365" s="3">
        <v>-543551.52344553056</v>
      </c>
      <c r="AH365" s="3">
        <v>-543551.52344553056</v>
      </c>
      <c r="AI365" s="3">
        <v>2000000</v>
      </c>
      <c r="AJ365" s="3">
        <v>-309763.27537067101</v>
      </c>
    </row>
    <row r="366" spans="1:36" x14ac:dyDescent="0.2">
      <c r="A366" s="3" t="s">
        <v>75</v>
      </c>
      <c r="B366" s="3" t="s">
        <v>83</v>
      </c>
      <c r="C366" s="3" t="s">
        <v>91</v>
      </c>
      <c r="D366" s="3">
        <v>1</v>
      </c>
      <c r="E366" s="3">
        <v>2022</v>
      </c>
      <c r="F366" s="3">
        <v>1</v>
      </c>
      <c r="G366" s="3" t="s">
        <v>48</v>
      </c>
      <c r="H366" s="3" t="s">
        <v>46</v>
      </c>
      <c r="I366" s="5">
        <v>2094872</v>
      </c>
      <c r="J366" s="3">
        <v>0</v>
      </c>
      <c r="K366" s="3">
        <v>2094872</v>
      </c>
      <c r="L366" s="3">
        <v>1292195.398</v>
      </c>
      <c r="M366" s="3">
        <v>802676.60199999996</v>
      </c>
      <c r="N366" s="3">
        <v>1890061.6413704772</v>
      </c>
      <c r="O366" s="3">
        <f t="shared" si="6"/>
        <v>90.223251891785139</v>
      </c>
      <c r="P366" s="3">
        <v>600373.20200000005</v>
      </c>
      <c r="Q366" s="3">
        <v>339333.64399999997</v>
      </c>
      <c r="R366" s="3">
        <v>645825.55737047724</v>
      </c>
      <c r="S366" s="3">
        <v>66240.173999999999</v>
      </c>
      <c r="T366" s="3">
        <v>36665.018000000004</v>
      </c>
      <c r="U366" s="3">
        <v>109880.68</v>
      </c>
      <c r="V366" s="3">
        <v>91743.36599999998</v>
      </c>
      <c r="W366" s="3">
        <v>0</v>
      </c>
      <c r="X366" s="3">
        <v>-1087385.039370477</v>
      </c>
      <c r="Y366" s="3">
        <v>68.175525183637006</v>
      </c>
      <c r="Z366" s="3">
        <v>201897.046</v>
      </c>
      <c r="AA366" s="3">
        <v>-201828.87047481636</v>
      </c>
      <c r="AB366" s="3">
        <v>0</v>
      </c>
      <c r="AC366" s="3">
        <v>0</v>
      </c>
      <c r="AD366" s="3">
        <v>0</v>
      </c>
      <c r="AE366" s="3">
        <v>-1289213.9098452935</v>
      </c>
      <c r="AF366" s="3">
        <v>0</v>
      </c>
      <c r="AG366" s="3">
        <v>-1289213.9098452935</v>
      </c>
      <c r="AH366" s="3">
        <v>-1289213.9098452935</v>
      </c>
      <c r="AI366" s="3">
        <v>3900000</v>
      </c>
      <c r="AJ366" s="3">
        <v>-979922.36273902829</v>
      </c>
    </row>
    <row r="367" spans="1:36" x14ac:dyDescent="0.2">
      <c r="A367" s="3" t="s">
        <v>75</v>
      </c>
      <c r="B367" s="3" t="s">
        <v>83</v>
      </c>
      <c r="C367" s="3" t="s">
        <v>91</v>
      </c>
      <c r="D367" s="3">
        <v>3</v>
      </c>
      <c r="E367" s="3">
        <v>2022</v>
      </c>
      <c r="F367" s="3">
        <v>1</v>
      </c>
      <c r="G367" s="3" t="s">
        <v>48</v>
      </c>
      <c r="H367" s="3" t="s">
        <v>46</v>
      </c>
      <c r="I367" s="5">
        <v>2953275</v>
      </c>
      <c r="J367" s="3">
        <v>253035</v>
      </c>
      <c r="K367" s="3">
        <v>2700240</v>
      </c>
      <c r="L367" s="3">
        <v>1741106.85</v>
      </c>
      <c r="M367" s="3">
        <v>959133.15</v>
      </c>
      <c r="N367" s="3">
        <v>1199231.206489787</v>
      </c>
      <c r="O367" s="3">
        <f t="shared" si="6"/>
        <v>44.412022875366155</v>
      </c>
      <c r="P367" s="3">
        <v>356297.73</v>
      </c>
      <c r="Q367" s="3">
        <v>195769.40999999997</v>
      </c>
      <c r="R367" s="3">
        <v>424115.55148978683</v>
      </c>
      <c r="S367" s="3">
        <v>58902.929999999993</v>
      </c>
      <c r="T367" s="3">
        <v>40724.85</v>
      </c>
      <c r="U367" s="3">
        <v>90136.86</v>
      </c>
      <c r="V367" s="3">
        <v>33283.875</v>
      </c>
      <c r="W367" s="3">
        <v>0</v>
      </c>
      <c r="X367" s="3">
        <v>-240098.05648978695</v>
      </c>
      <c r="Y367" s="3">
        <v>117.666495670274</v>
      </c>
      <c r="Z367" s="3">
        <v>116245.44</v>
      </c>
      <c r="AA367" s="3">
        <v>-116127.77350432973</v>
      </c>
      <c r="AB367" s="3">
        <v>0</v>
      </c>
      <c r="AC367" s="3">
        <v>0</v>
      </c>
      <c r="AD367" s="3">
        <v>0</v>
      </c>
      <c r="AE367" s="3">
        <v>-356225.82999411668</v>
      </c>
      <c r="AF367" s="3">
        <v>0</v>
      </c>
      <c r="AG367" s="3">
        <v>-356225.82999411668</v>
      </c>
      <c r="AH367" s="3">
        <v>-356225.82999411668</v>
      </c>
      <c r="AI367" s="3">
        <v>2250000</v>
      </c>
      <c r="AJ367" s="3">
        <v>-489462.07127537776</v>
      </c>
    </row>
    <row r="368" spans="1:36" x14ac:dyDescent="0.2">
      <c r="A368" s="3" t="s">
        <v>75</v>
      </c>
      <c r="B368" s="3" t="s">
        <v>83</v>
      </c>
      <c r="C368" s="3" t="s">
        <v>92</v>
      </c>
      <c r="D368" s="3">
        <v>3</v>
      </c>
      <c r="E368" s="3">
        <v>2022</v>
      </c>
      <c r="F368" s="3">
        <v>1</v>
      </c>
      <c r="G368" s="3" t="s">
        <v>42</v>
      </c>
      <c r="H368" s="3" t="s">
        <v>46</v>
      </c>
      <c r="I368" s="5">
        <v>18399.999999999996</v>
      </c>
      <c r="J368" s="3">
        <v>0</v>
      </c>
      <c r="K368" s="3">
        <v>18399.999999999996</v>
      </c>
      <c r="L368" s="3">
        <v>12880</v>
      </c>
      <c r="M368" s="3">
        <v>5520</v>
      </c>
      <c r="N368" s="3">
        <v>56808.347336834035</v>
      </c>
      <c r="O368" s="3">
        <f t="shared" si="6"/>
        <v>308.74101813496765</v>
      </c>
      <c r="P368" s="3">
        <v>25618.112999999998</v>
      </c>
      <c r="Q368" s="3">
        <v>1099.5609999999999</v>
      </c>
      <c r="R368" s="3">
        <v>25514.823336834019</v>
      </c>
      <c r="S368" s="3">
        <v>1117.3399999999997</v>
      </c>
      <c r="T368" s="3">
        <v>0</v>
      </c>
      <c r="U368" s="3">
        <v>552</v>
      </c>
      <c r="V368" s="3">
        <v>2906.51</v>
      </c>
      <c r="W368" s="3">
        <v>0</v>
      </c>
      <c r="X368" s="3">
        <v>-51288.347336834035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-51288.347336834035</v>
      </c>
      <c r="AF368" s="3">
        <v>0</v>
      </c>
      <c r="AG368" s="3">
        <v>-51288.347336834035</v>
      </c>
      <c r="AH368" s="3">
        <v>-51288.347336834035</v>
      </c>
      <c r="AI368" s="3">
        <v>287499.99999999994</v>
      </c>
      <c r="AJ368" s="3">
        <v>68999.999999999985</v>
      </c>
    </row>
    <row r="369" spans="1:36" x14ac:dyDescent="0.2">
      <c r="A369" s="3" t="s">
        <v>75</v>
      </c>
      <c r="B369" s="3" t="s">
        <v>83</v>
      </c>
      <c r="C369" s="3" t="s">
        <v>92</v>
      </c>
      <c r="D369" s="3">
        <v>1</v>
      </c>
      <c r="E369" s="3">
        <v>2022</v>
      </c>
      <c r="F369" s="3">
        <v>1</v>
      </c>
      <c r="G369" s="3" t="s">
        <v>42</v>
      </c>
      <c r="H369" s="3" t="s">
        <v>46</v>
      </c>
      <c r="I369" s="5">
        <v>114640</v>
      </c>
      <c r="J369" s="3">
        <v>9880</v>
      </c>
      <c r="K369" s="3">
        <v>104760</v>
      </c>
      <c r="L369" s="3">
        <v>70384</v>
      </c>
      <c r="M369" s="3">
        <v>34376</v>
      </c>
      <c r="N369" s="3">
        <v>59166.890725225661</v>
      </c>
      <c r="O369" s="3">
        <f t="shared" si="6"/>
        <v>56.478513483415107</v>
      </c>
      <c r="P369" s="3">
        <v>21981.68</v>
      </c>
      <c r="Q369" s="3">
        <v>0</v>
      </c>
      <c r="R369" s="3">
        <v>24847.51072522566</v>
      </c>
      <c r="S369" s="3">
        <v>5409.6</v>
      </c>
      <c r="T369" s="3">
        <v>0</v>
      </c>
      <c r="U369" s="3">
        <v>4082.76</v>
      </c>
      <c r="V369" s="3">
        <v>2845.34</v>
      </c>
      <c r="W369" s="3">
        <v>0</v>
      </c>
      <c r="X369" s="3">
        <v>-24790.890725225658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-24790.890725225658</v>
      </c>
      <c r="AF369" s="3">
        <v>0</v>
      </c>
      <c r="AG369" s="3">
        <v>-24790.890725225658</v>
      </c>
      <c r="AH369" s="3">
        <v>-24790.890725225658</v>
      </c>
      <c r="AI369" s="3">
        <v>250000</v>
      </c>
      <c r="AJ369" s="3">
        <v>60000</v>
      </c>
    </row>
    <row r="370" spans="1:36" x14ac:dyDescent="0.2">
      <c r="A370" s="3" t="s">
        <v>75</v>
      </c>
      <c r="B370" s="3" t="s">
        <v>83</v>
      </c>
      <c r="C370" s="3" t="s">
        <v>92</v>
      </c>
      <c r="D370" s="3">
        <v>2</v>
      </c>
      <c r="E370" s="3">
        <v>2022</v>
      </c>
      <c r="F370" s="3">
        <v>1</v>
      </c>
      <c r="G370" s="3" t="s">
        <v>42</v>
      </c>
      <c r="H370" s="3" t="s">
        <v>46</v>
      </c>
      <c r="I370" s="5">
        <v>401800</v>
      </c>
      <c r="J370" s="3">
        <v>0</v>
      </c>
      <c r="K370" s="3">
        <v>401800</v>
      </c>
      <c r="L370" s="3">
        <v>273560</v>
      </c>
      <c r="M370" s="3">
        <v>128240</v>
      </c>
      <c r="N370" s="3">
        <v>101517.9147023426</v>
      </c>
      <c r="O370" s="3">
        <f t="shared" si="6"/>
        <v>25.265782653644251</v>
      </c>
      <c r="P370" s="3">
        <v>31479.307999999997</v>
      </c>
      <c r="Q370" s="3">
        <v>1490.3279999999997</v>
      </c>
      <c r="R370" s="3">
        <v>33938.206702342606</v>
      </c>
      <c r="S370" s="3">
        <v>20330.239999999998</v>
      </c>
      <c r="T370" s="3">
        <v>0</v>
      </c>
      <c r="U370" s="3">
        <v>12824</v>
      </c>
      <c r="V370" s="3">
        <v>1455.8319999999999</v>
      </c>
      <c r="W370" s="3">
        <v>0</v>
      </c>
      <c r="X370" s="3">
        <v>26722.085297657391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26722.085297657391</v>
      </c>
      <c r="AF370" s="3">
        <v>0</v>
      </c>
      <c r="AG370" s="3">
        <v>26722.085297657391</v>
      </c>
      <c r="AH370" s="3">
        <v>26722.085297657391</v>
      </c>
      <c r="AI370" s="3">
        <v>350000</v>
      </c>
      <c r="AJ370" s="3">
        <v>84000</v>
      </c>
    </row>
    <row r="371" spans="1:36" x14ac:dyDescent="0.2">
      <c r="A371" s="3" t="s">
        <v>75</v>
      </c>
      <c r="B371" s="3" t="s">
        <v>83</v>
      </c>
      <c r="C371" s="3" t="s">
        <v>92</v>
      </c>
      <c r="D371" s="3">
        <v>3</v>
      </c>
      <c r="E371" s="3">
        <v>2022</v>
      </c>
      <c r="F371" s="3">
        <v>1</v>
      </c>
      <c r="G371" s="3" t="s">
        <v>48</v>
      </c>
      <c r="H371" s="3" t="s">
        <v>46</v>
      </c>
      <c r="I371" s="5">
        <v>3451040</v>
      </c>
      <c r="J371" s="3">
        <v>156240</v>
      </c>
      <c r="K371" s="3">
        <v>3294800</v>
      </c>
      <c r="L371" s="3">
        <v>2106128.3600000003</v>
      </c>
      <c r="M371" s="3">
        <v>1188671.6400000001</v>
      </c>
      <c r="N371" s="3">
        <v>1984510.5346726556</v>
      </c>
      <c r="O371" s="3">
        <f t="shared" si="6"/>
        <v>60.231593258244985</v>
      </c>
      <c r="P371" s="3">
        <v>668298.57999999996</v>
      </c>
      <c r="Q371" s="3">
        <v>286873.40000000002</v>
      </c>
      <c r="R371" s="3">
        <v>665390.01467265585</v>
      </c>
      <c r="S371" s="3">
        <v>87280.840000000011</v>
      </c>
      <c r="T371" s="3">
        <v>50471.08</v>
      </c>
      <c r="U371" s="3">
        <v>150299.12</v>
      </c>
      <c r="V371" s="3">
        <v>75897.5</v>
      </c>
      <c r="W371" s="3">
        <v>0</v>
      </c>
      <c r="X371" s="3">
        <v>-795838.89467265573</v>
      </c>
      <c r="Y371" s="3">
        <v>160.87831732387281</v>
      </c>
      <c r="Z371" s="3">
        <v>238564.90000000002</v>
      </c>
      <c r="AA371" s="3">
        <v>-238404.0216826761</v>
      </c>
      <c r="AB371" s="3">
        <v>0</v>
      </c>
      <c r="AC371" s="3">
        <v>0</v>
      </c>
      <c r="AD371" s="3">
        <v>0</v>
      </c>
      <c r="AE371" s="3">
        <v>-1034242.9163553319</v>
      </c>
      <c r="AF371" s="3">
        <v>0</v>
      </c>
      <c r="AG371" s="3">
        <v>-1034242.9163553319</v>
      </c>
      <c r="AH371" s="3">
        <v>-1034242.9163553319</v>
      </c>
      <c r="AI371" s="3">
        <v>7000000</v>
      </c>
      <c r="AJ371" s="3">
        <v>144560.94975136546</v>
      </c>
    </row>
    <row r="372" spans="1:36" x14ac:dyDescent="0.2">
      <c r="A372" s="3" t="s">
        <v>75</v>
      </c>
      <c r="B372" s="3" t="s">
        <v>83</v>
      </c>
      <c r="C372" s="3" t="s">
        <v>92</v>
      </c>
      <c r="D372" s="3">
        <v>2</v>
      </c>
      <c r="E372" s="3">
        <v>2022</v>
      </c>
      <c r="F372" s="3">
        <v>1</v>
      </c>
      <c r="G372" s="3" t="s">
        <v>48</v>
      </c>
      <c r="H372" s="3" t="s">
        <v>46</v>
      </c>
      <c r="I372" s="5">
        <v>4811750</v>
      </c>
      <c r="J372" s="3">
        <v>0</v>
      </c>
      <c r="K372" s="3">
        <v>4811750</v>
      </c>
      <c r="L372" s="3">
        <v>3054503.4789999998</v>
      </c>
      <c r="M372" s="3">
        <v>1757246.5210000002</v>
      </c>
      <c r="N372" s="3">
        <v>1963647.5507313733</v>
      </c>
      <c r="O372" s="3">
        <f t="shared" si="6"/>
        <v>40.809425899753172</v>
      </c>
      <c r="P372" s="3">
        <v>640828.9219999999</v>
      </c>
      <c r="Q372" s="3">
        <v>275618.76899999997</v>
      </c>
      <c r="R372" s="3">
        <v>690291.14873137325</v>
      </c>
      <c r="S372" s="3">
        <v>72150.048999999985</v>
      </c>
      <c r="T372" s="3">
        <v>34317.134999999995</v>
      </c>
      <c r="U372" s="3">
        <v>220718.93399999998</v>
      </c>
      <c r="V372" s="3">
        <v>29722.592999999997</v>
      </c>
      <c r="W372" s="3">
        <v>0</v>
      </c>
      <c r="X372" s="3">
        <v>-206401.02973137324</v>
      </c>
      <c r="Y372" s="3">
        <v>270.4315630919665</v>
      </c>
      <c r="Z372" s="3">
        <v>182269.26099999997</v>
      </c>
      <c r="AA372" s="3">
        <v>-181998.82943690801</v>
      </c>
      <c r="AB372" s="3">
        <v>0</v>
      </c>
      <c r="AC372" s="3">
        <v>0</v>
      </c>
      <c r="AD372" s="3">
        <v>0</v>
      </c>
      <c r="AE372" s="3">
        <v>-388399.8591682812</v>
      </c>
      <c r="AF372" s="3">
        <v>0</v>
      </c>
      <c r="AG372" s="3">
        <v>-388399.8591682812</v>
      </c>
      <c r="AH372" s="3">
        <v>-388399.8591682812</v>
      </c>
      <c r="AI372" s="3">
        <v>7600000</v>
      </c>
      <c r="AJ372" s="3">
        <v>67436.977493990737</v>
      </c>
    </row>
    <row r="373" spans="1:36" x14ac:dyDescent="0.2">
      <c r="A373" s="3" t="s">
        <v>75</v>
      </c>
      <c r="B373" s="3" t="s">
        <v>83</v>
      </c>
      <c r="C373" s="3" t="s">
        <v>92</v>
      </c>
      <c r="D373" s="3">
        <v>1</v>
      </c>
      <c r="E373" s="3">
        <v>2022</v>
      </c>
      <c r="F373" s="3">
        <v>1</v>
      </c>
      <c r="G373" s="3" t="s">
        <v>48</v>
      </c>
      <c r="H373" s="3" t="s">
        <v>46</v>
      </c>
      <c r="I373" s="5">
        <v>8587161</v>
      </c>
      <c r="J373" s="3">
        <v>404298</v>
      </c>
      <c r="K373" s="3">
        <v>8182863</v>
      </c>
      <c r="L373" s="3">
        <v>5044944.1605098546</v>
      </c>
      <c r="M373" s="3">
        <v>3137918.8394901459</v>
      </c>
      <c r="N373" s="3">
        <v>3018039.3810089314</v>
      </c>
      <c r="O373" s="3">
        <f t="shared" si="6"/>
        <v>36.882438102763437</v>
      </c>
      <c r="P373" s="3">
        <v>890257.68900000013</v>
      </c>
      <c r="Q373" s="3">
        <v>348555.87900000007</v>
      </c>
      <c r="R373" s="3">
        <v>1004303.7810089311</v>
      </c>
      <c r="S373" s="3">
        <v>112946.12999999999</v>
      </c>
      <c r="T373" s="3">
        <v>143335.22399999999</v>
      </c>
      <c r="U373" s="3">
        <v>377936.65800000005</v>
      </c>
      <c r="V373" s="3">
        <v>140704.01999999999</v>
      </c>
      <c r="W373" s="3">
        <v>0</v>
      </c>
      <c r="X373" s="3">
        <v>119879.45848121445</v>
      </c>
      <c r="Y373" s="3">
        <v>250.32048541166404</v>
      </c>
      <c r="Z373" s="3">
        <v>252874.14300000001</v>
      </c>
      <c r="AA373" s="3">
        <v>-252623.82251458839</v>
      </c>
      <c r="AB373" s="3">
        <v>0</v>
      </c>
      <c r="AC373" s="3">
        <v>0</v>
      </c>
      <c r="AD373" s="3">
        <v>0</v>
      </c>
      <c r="AE373" s="3">
        <v>-132744.36403337395</v>
      </c>
      <c r="AF373" s="3">
        <v>0</v>
      </c>
      <c r="AG373" s="3">
        <v>-132744.36403337395</v>
      </c>
      <c r="AH373" s="3">
        <v>-132744.36403337395</v>
      </c>
      <c r="AI373" s="3">
        <v>8100000</v>
      </c>
      <c r="AJ373" s="3">
        <v>376673.38397310377</v>
      </c>
    </row>
    <row r="374" spans="1:36" x14ac:dyDescent="0.2">
      <c r="A374" s="3" t="s">
        <v>75</v>
      </c>
      <c r="B374" s="3" t="s">
        <v>83</v>
      </c>
      <c r="C374" s="3" t="s">
        <v>93</v>
      </c>
      <c r="D374" s="3">
        <v>1</v>
      </c>
      <c r="E374" s="3">
        <v>2022</v>
      </c>
      <c r="F374" s="3">
        <v>1</v>
      </c>
      <c r="G374" s="3" t="s">
        <v>42</v>
      </c>
      <c r="H374" s="3" t="s">
        <v>46</v>
      </c>
      <c r="I374" s="5">
        <v>0</v>
      </c>
      <c r="J374" s="3">
        <v>0</v>
      </c>
      <c r="K374" s="3">
        <v>0</v>
      </c>
      <c r="L374" s="3">
        <v>0</v>
      </c>
      <c r="M374" s="3">
        <v>0</v>
      </c>
      <c r="N374" s="3">
        <v>119054.60800000001</v>
      </c>
      <c r="O374" s="3" t="e">
        <f t="shared" si="6"/>
        <v>#DIV/0!</v>
      </c>
      <c r="P374" s="3">
        <v>119054.60800000001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-119054.60800000001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-119054.60800000001</v>
      </c>
      <c r="AF374" s="3">
        <v>0</v>
      </c>
      <c r="AG374" s="3">
        <v>-119054.60800000001</v>
      </c>
      <c r="AH374" s="3">
        <v>-119054.60800000001</v>
      </c>
      <c r="AI374" s="3">
        <v>0</v>
      </c>
      <c r="AJ374" s="3">
        <v>0</v>
      </c>
    </row>
    <row r="375" spans="1:36" x14ac:dyDescent="0.2">
      <c r="A375" s="3" t="s">
        <v>75</v>
      </c>
      <c r="B375" s="3" t="s">
        <v>83</v>
      </c>
      <c r="C375" s="3" t="s">
        <v>93</v>
      </c>
      <c r="D375" s="3">
        <v>1</v>
      </c>
      <c r="E375" s="3">
        <v>2022</v>
      </c>
      <c r="F375" s="3">
        <v>1</v>
      </c>
      <c r="G375" s="3" t="s">
        <v>39</v>
      </c>
      <c r="H375" s="3" t="s">
        <v>46</v>
      </c>
      <c r="I375" s="5">
        <v>0</v>
      </c>
      <c r="J375" s="3">
        <v>0</v>
      </c>
      <c r="K375" s="3">
        <v>0</v>
      </c>
      <c r="L375" s="3">
        <v>0</v>
      </c>
      <c r="M375" s="3">
        <v>0</v>
      </c>
      <c r="N375" s="3">
        <v>21004.646000000001</v>
      </c>
      <c r="O375" s="3" t="e">
        <f t="shared" si="6"/>
        <v>#DIV/0!</v>
      </c>
      <c r="P375" s="3">
        <v>21004.646000000001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-21004.646000000001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-21004.646000000001</v>
      </c>
      <c r="AF375" s="3">
        <v>0</v>
      </c>
      <c r="AG375" s="3">
        <v>-21004.646000000001</v>
      </c>
      <c r="AH375" s="3">
        <v>-21004.646000000001</v>
      </c>
      <c r="AI375" s="3">
        <v>0</v>
      </c>
      <c r="AJ375" s="3">
        <v>0</v>
      </c>
    </row>
    <row r="376" spans="1:36" x14ac:dyDescent="0.2">
      <c r="A376" s="3" t="s">
        <v>75</v>
      </c>
      <c r="B376" s="3" t="s">
        <v>83</v>
      </c>
      <c r="C376" s="3" t="s">
        <v>93</v>
      </c>
      <c r="D376" s="3">
        <v>2</v>
      </c>
      <c r="E376" s="3">
        <v>2022</v>
      </c>
      <c r="F376" s="3">
        <v>1</v>
      </c>
      <c r="G376" s="3" t="s">
        <v>42</v>
      </c>
      <c r="H376" s="3" t="s">
        <v>46</v>
      </c>
      <c r="I376" s="5">
        <v>0</v>
      </c>
      <c r="J376" s="3">
        <v>0</v>
      </c>
      <c r="K376" s="3">
        <v>0</v>
      </c>
      <c r="L376" s="3">
        <v>0</v>
      </c>
      <c r="M376" s="3">
        <v>0</v>
      </c>
      <c r="N376" s="3">
        <v>223227.39</v>
      </c>
      <c r="O376" s="3" t="e">
        <f t="shared" si="6"/>
        <v>#DIV/0!</v>
      </c>
      <c r="P376" s="3">
        <v>223227.39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-223227.39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-223227.39</v>
      </c>
      <c r="AF376" s="3">
        <v>0</v>
      </c>
      <c r="AG376" s="3">
        <v>-223227.39</v>
      </c>
      <c r="AH376" s="3">
        <v>-223227.39</v>
      </c>
      <c r="AI376" s="3">
        <v>0</v>
      </c>
      <c r="AJ376" s="3">
        <v>0</v>
      </c>
    </row>
    <row r="377" spans="1:36" x14ac:dyDescent="0.2">
      <c r="A377" s="3" t="s">
        <v>75</v>
      </c>
      <c r="B377" s="3" t="s">
        <v>83</v>
      </c>
      <c r="C377" s="3" t="s">
        <v>93</v>
      </c>
      <c r="D377" s="3">
        <v>2</v>
      </c>
      <c r="E377" s="3">
        <v>2022</v>
      </c>
      <c r="F377" s="3">
        <v>1</v>
      </c>
      <c r="G377" s="3" t="s">
        <v>48</v>
      </c>
      <c r="H377" s="3" t="s">
        <v>46</v>
      </c>
      <c r="I377" s="5">
        <v>0</v>
      </c>
      <c r="J377" s="3">
        <v>0</v>
      </c>
      <c r="K377" s="3">
        <v>0</v>
      </c>
      <c r="L377" s="3">
        <v>0</v>
      </c>
      <c r="M377" s="3">
        <v>0</v>
      </c>
      <c r="N377" s="3">
        <v>1230372.5999999999</v>
      </c>
      <c r="O377" s="3" t="e">
        <f t="shared" si="6"/>
        <v>#DIV/0!</v>
      </c>
      <c r="P377" s="3">
        <v>1230372.5999999999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-1230372.5999999999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-1230372.5999999999</v>
      </c>
      <c r="AF377" s="3">
        <v>0</v>
      </c>
      <c r="AG377" s="3">
        <v>-1230372.5999999999</v>
      </c>
      <c r="AH377" s="3">
        <v>-1230372.5999999999</v>
      </c>
      <c r="AI377" s="3">
        <v>0</v>
      </c>
      <c r="AJ377" s="3">
        <v>0</v>
      </c>
    </row>
    <row r="378" spans="1:36" x14ac:dyDescent="0.2">
      <c r="A378" s="3" t="s">
        <v>75</v>
      </c>
      <c r="B378" s="3" t="s">
        <v>83</v>
      </c>
      <c r="C378" s="3" t="s">
        <v>93</v>
      </c>
      <c r="D378" s="3">
        <v>2</v>
      </c>
      <c r="E378" s="3">
        <v>2022</v>
      </c>
      <c r="F378" s="3">
        <v>1</v>
      </c>
      <c r="G378" s="3" t="s">
        <v>39</v>
      </c>
      <c r="H378" s="3" t="s">
        <v>46</v>
      </c>
      <c r="I378" s="5">
        <v>0</v>
      </c>
      <c r="J378" s="3">
        <v>0</v>
      </c>
      <c r="K378" s="3">
        <v>0</v>
      </c>
      <c r="L378" s="3">
        <v>0</v>
      </c>
      <c r="M378" s="3">
        <v>0</v>
      </c>
      <c r="N378" s="3">
        <v>21812.517000000003</v>
      </c>
      <c r="O378" s="3" t="e">
        <f t="shared" si="6"/>
        <v>#DIV/0!</v>
      </c>
      <c r="P378" s="3">
        <v>21812.517000000003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-21812.517000000003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-21812.517000000003</v>
      </c>
      <c r="AF378" s="3">
        <v>0</v>
      </c>
      <c r="AG378" s="3">
        <v>-21812.517000000003</v>
      </c>
      <c r="AH378" s="3">
        <v>-21812.517000000003</v>
      </c>
      <c r="AI378" s="3">
        <v>0</v>
      </c>
      <c r="AJ378" s="3">
        <v>0</v>
      </c>
    </row>
    <row r="379" spans="1:36" x14ac:dyDescent="0.2">
      <c r="A379" s="3" t="s">
        <v>75</v>
      </c>
      <c r="B379" s="3" t="s">
        <v>83</v>
      </c>
      <c r="C379" s="3" t="s">
        <v>93</v>
      </c>
      <c r="D379" s="3">
        <v>3</v>
      </c>
      <c r="E379" s="3">
        <v>2022</v>
      </c>
      <c r="F379" s="3">
        <v>1</v>
      </c>
      <c r="G379" s="3" t="s">
        <v>42</v>
      </c>
      <c r="H379" s="3" t="s">
        <v>46</v>
      </c>
      <c r="I379" s="5">
        <v>0</v>
      </c>
      <c r="J379" s="3">
        <v>0</v>
      </c>
      <c r="K379" s="3">
        <v>0</v>
      </c>
      <c r="L379" s="3">
        <v>0</v>
      </c>
      <c r="M379" s="3">
        <v>0</v>
      </c>
      <c r="N379" s="3">
        <v>111613.69500000001</v>
      </c>
      <c r="O379" s="3" t="e">
        <f t="shared" si="6"/>
        <v>#DIV/0!</v>
      </c>
      <c r="P379" s="3">
        <v>111613.69500000001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-111613.69500000001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-111613.69500000001</v>
      </c>
      <c r="AF379" s="3">
        <v>0</v>
      </c>
      <c r="AG379" s="3">
        <v>-111613.69500000001</v>
      </c>
      <c r="AH379" s="3">
        <v>-111613.69500000001</v>
      </c>
      <c r="AI379" s="3">
        <v>0</v>
      </c>
      <c r="AJ379" s="3">
        <v>0</v>
      </c>
    </row>
    <row r="380" spans="1:36" x14ac:dyDescent="0.2">
      <c r="A380" s="3" t="s">
        <v>75</v>
      </c>
      <c r="B380" s="3" t="s">
        <v>83</v>
      </c>
      <c r="C380" s="3" t="s">
        <v>93</v>
      </c>
      <c r="D380" s="3">
        <v>3</v>
      </c>
      <c r="E380" s="3">
        <v>2022</v>
      </c>
      <c r="F380" s="3">
        <v>1</v>
      </c>
      <c r="G380" s="3" t="s">
        <v>39</v>
      </c>
      <c r="H380" s="3" t="s">
        <v>46</v>
      </c>
      <c r="I380" s="5">
        <v>0</v>
      </c>
      <c r="J380" s="3">
        <v>0</v>
      </c>
      <c r="K380" s="3">
        <v>0</v>
      </c>
      <c r="L380" s="3">
        <v>0</v>
      </c>
      <c r="M380" s="3">
        <v>0</v>
      </c>
      <c r="N380" s="3">
        <v>23428.258999999998</v>
      </c>
      <c r="O380" s="3" t="e">
        <f t="shared" si="6"/>
        <v>#DIV/0!</v>
      </c>
      <c r="P380" s="3">
        <v>23428.258999999998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-23428.258999999998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-23428.258999999998</v>
      </c>
      <c r="AF380" s="3">
        <v>0</v>
      </c>
      <c r="AG380" s="3">
        <v>-23428.258999999998</v>
      </c>
      <c r="AH380" s="3">
        <v>-23428.258999999998</v>
      </c>
      <c r="AI380" s="3">
        <v>0</v>
      </c>
      <c r="AJ380" s="3">
        <v>0</v>
      </c>
    </row>
    <row r="381" spans="1:36" x14ac:dyDescent="0.2">
      <c r="A381" s="3" t="s">
        <v>75</v>
      </c>
      <c r="B381" s="3" t="s">
        <v>83</v>
      </c>
      <c r="C381" s="3" t="s">
        <v>93</v>
      </c>
      <c r="D381" s="3">
        <v>3</v>
      </c>
      <c r="E381" s="3">
        <v>2022</v>
      </c>
      <c r="F381" s="3">
        <v>1</v>
      </c>
      <c r="G381" s="3" t="s">
        <v>48</v>
      </c>
      <c r="H381" s="3" t="s">
        <v>46</v>
      </c>
      <c r="I381" s="5">
        <v>382690</v>
      </c>
      <c r="J381" s="3">
        <v>102690</v>
      </c>
      <c r="K381" s="3">
        <v>280000</v>
      </c>
      <c r="L381" s="3">
        <v>182571.73199999996</v>
      </c>
      <c r="M381" s="3">
        <v>97428.267999999982</v>
      </c>
      <c r="N381" s="3">
        <v>1735795.656</v>
      </c>
      <c r="O381" s="3">
        <f t="shared" si="6"/>
        <v>619.92701999999997</v>
      </c>
      <c r="P381" s="3">
        <v>1722521.64</v>
      </c>
      <c r="Q381" s="3">
        <v>0</v>
      </c>
      <c r="R381" s="3">
        <v>0</v>
      </c>
      <c r="S381" s="3">
        <v>0</v>
      </c>
      <c r="T381" s="3">
        <v>0</v>
      </c>
      <c r="U381" s="3">
        <v>13274.016</v>
      </c>
      <c r="V381" s="3">
        <v>0</v>
      </c>
      <c r="W381" s="3">
        <v>0</v>
      </c>
      <c r="X381" s="3">
        <v>-1638367.3879999998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-1638367.3879999998</v>
      </c>
      <c r="AF381" s="3">
        <v>0</v>
      </c>
      <c r="AG381" s="3">
        <v>-1638367.3879999998</v>
      </c>
      <c r="AH381" s="3">
        <v>-1638367.3879999998</v>
      </c>
      <c r="AI381" s="3">
        <v>0</v>
      </c>
      <c r="AJ381" s="3">
        <v>0</v>
      </c>
    </row>
    <row r="382" spans="1:36" x14ac:dyDescent="0.2">
      <c r="A382" s="3" t="s">
        <v>75</v>
      </c>
      <c r="B382" s="3" t="s">
        <v>83</v>
      </c>
      <c r="C382" s="3" t="s">
        <v>93</v>
      </c>
      <c r="D382" s="3">
        <v>1</v>
      </c>
      <c r="E382" s="3">
        <v>2022</v>
      </c>
      <c r="F382" s="3">
        <v>1</v>
      </c>
      <c r="G382" s="3" t="s">
        <v>48</v>
      </c>
      <c r="H382" s="3" t="s">
        <v>46</v>
      </c>
      <c r="I382" s="5">
        <v>9649272</v>
      </c>
      <c r="J382" s="3">
        <v>1041225.6</v>
      </c>
      <c r="K382" s="3">
        <v>8608046.4000000004</v>
      </c>
      <c r="L382" s="3">
        <v>7473364.4400000004</v>
      </c>
      <c r="M382" s="3">
        <v>1134681.96</v>
      </c>
      <c r="N382" s="3">
        <v>1547172.996</v>
      </c>
      <c r="O382" s="3">
        <f t="shared" si="6"/>
        <v>17.973567103448698</v>
      </c>
      <c r="P382" s="3">
        <v>1476447.12</v>
      </c>
      <c r="Q382" s="3">
        <v>0</v>
      </c>
      <c r="R382" s="3">
        <v>0</v>
      </c>
      <c r="S382" s="3">
        <v>0</v>
      </c>
      <c r="T382" s="3">
        <v>0</v>
      </c>
      <c r="U382" s="3">
        <v>70725.876000000004</v>
      </c>
      <c r="V382" s="3">
        <v>0</v>
      </c>
      <c r="W382" s="3">
        <v>0</v>
      </c>
      <c r="X382" s="3">
        <v>-412491.03600000002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-412491.03600000002</v>
      </c>
      <c r="AF382" s="3">
        <v>0</v>
      </c>
      <c r="AG382" s="3">
        <v>-412491.03600000002</v>
      </c>
      <c r="AH382" s="3">
        <v>-412491.03600000002</v>
      </c>
      <c r="AI382" s="3">
        <v>0</v>
      </c>
      <c r="AJ382" s="3">
        <v>0</v>
      </c>
    </row>
    <row r="383" spans="1:36" x14ac:dyDescent="0.2">
      <c r="A383" s="3" t="s">
        <v>75</v>
      </c>
      <c r="B383" s="3" t="s">
        <v>83</v>
      </c>
      <c r="C383" s="3" t="s">
        <v>94</v>
      </c>
      <c r="D383" s="3">
        <v>3</v>
      </c>
      <c r="E383" s="3">
        <v>2022</v>
      </c>
      <c r="F383" s="3">
        <v>1</v>
      </c>
      <c r="G383" s="3" t="s">
        <v>42</v>
      </c>
      <c r="H383" s="3" t="s">
        <v>40</v>
      </c>
      <c r="I383" s="5">
        <v>76428.000000000015</v>
      </c>
      <c r="J383" s="3">
        <v>7642.8000000000011</v>
      </c>
      <c r="K383" s="3">
        <v>68785.200000000012</v>
      </c>
      <c r="L383" s="3">
        <v>45856.800000000003</v>
      </c>
      <c r="M383" s="3">
        <v>22928.400000000001</v>
      </c>
      <c r="N383" s="3">
        <v>11000</v>
      </c>
      <c r="O383" s="3">
        <f t="shared" si="6"/>
        <v>15.991812192157612</v>
      </c>
      <c r="P383" s="3">
        <v>0</v>
      </c>
      <c r="Q383" s="3">
        <v>11000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11928.4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11928.4</v>
      </c>
      <c r="AF383" s="3">
        <v>0</v>
      </c>
      <c r="AG383" s="3">
        <v>11928.4</v>
      </c>
      <c r="AH383" s="3">
        <v>11928.4</v>
      </c>
      <c r="AI383" s="3">
        <v>1980000.0000000002</v>
      </c>
      <c r="AJ383" s="3">
        <v>440000</v>
      </c>
    </row>
    <row r="384" spans="1:36" x14ac:dyDescent="0.2">
      <c r="A384" s="3" t="s">
        <v>75</v>
      </c>
      <c r="B384" s="3" t="s">
        <v>83</v>
      </c>
      <c r="C384" s="3" t="s">
        <v>94</v>
      </c>
      <c r="D384" s="3">
        <v>2</v>
      </c>
      <c r="E384" s="3">
        <v>2022</v>
      </c>
      <c r="F384" s="3">
        <v>1</v>
      </c>
      <c r="G384" s="3" t="s">
        <v>42</v>
      </c>
      <c r="H384" s="3" t="s">
        <v>40</v>
      </c>
      <c r="I384" s="5">
        <v>1207700</v>
      </c>
      <c r="J384" s="3">
        <v>134355</v>
      </c>
      <c r="K384" s="3">
        <v>1073345</v>
      </c>
      <c r="L384" s="3">
        <v>818220</v>
      </c>
      <c r="M384" s="3">
        <v>255125</v>
      </c>
      <c r="N384" s="3">
        <v>58321.25</v>
      </c>
      <c r="O384" s="3">
        <f t="shared" si="6"/>
        <v>5.4335977714527948</v>
      </c>
      <c r="P384" s="3">
        <v>0</v>
      </c>
      <c r="Q384" s="3">
        <v>0</v>
      </c>
      <c r="R384" s="3">
        <v>0</v>
      </c>
      <c r="S384" s="3">
        <v>53667.25</v>
      </c>
      <c r="T384" s="3">
        <v>0</v>
      </c>
      <c r="U384" s="3">
        <v>0</v>
      </c>
      <c r="V384" s="3">
        <v>4654</v>
      </c>
      <c r="W384" s="3">
        <v>0</v>
      </c>
      <c r="X384" s="3">
        <v>196803.75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196803.75</v>
      </c>
      <c r="AF384" s="3">
        <v>0</v>
      </c>
      <c r="AG384" s="3">
        <v>196803.75</v>
      </c>
      <c r="AH384" s="3">
        <v>196803.75</v>
      </c>
      <c r="AI384" s="3">
        <v>2340000</v>
      </c>
      <c r="AJ384" s="3">
        <v>520000</v>
      </c>
    </row>
    <row r="385" spans="1:36" x14ac:dyDescent="0.2">
      <c r="A385" s="3" t="s">
        <v>75</v>
      </c>
      <c r="B385" s="3" t="s">
        <v>83</v>
      </c>
      <c r="C385" s="3" t="s">
        <v>94</v>
      </c>
      <c r="D385" s="3">
        <v>1</v>
      </c>
      <c r="E385" s="3">
        <v>2022</v>
      </c>
      <c r="F385" s="3">
        <v>1</v>
      </c>
      <c r="G385" s="3" t="s">
        <v>42</v>
      </c>
      <c r="H385" s="3" t="s">
        <v>40</v>
      </c>
      <c r="I385" s="5">
        <v>2964330</v>
      </c>
      <c r="J385" s="3">
        <v>422101.8</v>
      </c>
      <c r="K385" s="3">
        <v>2542228.2000000002</v>
      </c>
      <c r="L385" s="3">
        <v>1778598</v>
      </c>
      <c r="M385" s="3">
        <v>763630.20000000007</v>
      </c>
      <c r="N385" s="3">
        <v>240415.69500000001</v>
      </c>
      <c r="O385" s="3">
        <f t="shared" si="6"/>
        <v>9.4568888426302564</v>
      </c>
      <c r="P385" s="3">
        <v>0</v>
      </c>
      <c r="Q385" s="3">
        <v>0</v>
      </c>
      <c r="R385" s="3">
        <v>0</v>
      </c>
      <c r="S385" s="3">
        <v>158740.69500000001</v>
      </c>
      <c r="T385" s="3">
        <v>0</v>
      </c>
      <c r="U385" s="3">
        <v>0</v>
      </c>
      <c r="V385" s="3">
        <v>81675.000000000015</v>
      </c>
      <c r="W385" s="3">
        <v>0</v>
      </c>
      <c r="X385" s="3">
        <v>523214.505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523214.505</v>
      </c>
      <c r="AF385" s="3">
        <v>0</v>
      </c>
      <c r="AG385" s="3">
        <v>523214.505</v>
      </c>
      <c r="AH385" s="3">
        <v>523214.505</v>
      </c>
      <c r="AI385" s="3">
        <v>2430000.0000000005</v>
      </c>
      <c r="AJ385" s="3">
        <v>540000</v>
      </c>
    </row>
    <row r="386" spans="1:36" x14ac:dyDescent="0.2">
      <c r="A386" s="3" t="s">
        <v>75</v>
      </c>
      <c r="B386" s="3" t="s">
        <v>83</v>
      </c>
      <c r="C386" s="3" t="s">
        <v>94</v>
      </c>
      <c r="D386" s="3">
        <v>2</v>
      </c>
      <c r="E386" s="3">
        <v>2022</v>
      </c>
      <c r="F386" s="3">
        <v>1</v>
      </c>
      <c r="G386" s="3" t="s">
        <v>48</v>
      </c>
      <c r="H386" s="3" t="s">
        <v>40</v>
      </c>
      <c r="I386" s="5">
        <v>140659847.91</v>
      </c>
      <c r="J386" s="3">
        <v>1614302.4</v>
      </c>
      <c r="K386" s="3">
        <v>139045545.51000002</v>
      </c>
      <c r="L386" s="3">
        <v>136378502.91</v>
      </c>
      <c r="M386" s="3">
        <v>2667042.6</v>
      </c>
      <c r="N386" s="3">
        <v>1311499.3471049904</v>
      </c>
      <c r="O386" s="3">
        <f t="shared" si="6"/>
        <v>0.94321565088229931</v>
      </c>
      <c r="P386" s="3">
        <v>34632.57</v>
      </c>
      <c r="Q386" s="3">
        <v>0</v>
      </c>
      <c r="R386" s="3">
        <v>630067.33210499061</v>
      </c>
      <c r="S386" s="3">
        <v>50218.275000000001</v>
      </c>
      <c r="T386" s="3">
        <v>0</v>
      </c>
      <c r="U386" s="3">
        <v>266704.26</v>
      </c>
      <c r="V386" s="3">
        <v>329876.90999999997</v>
      </c>
      <c r="W386" s="3">
        <v>0</v>
      </c>
      <c r="X386" s="3">
        <v>1355543.2528950097</v>
      </c>
      <c r="Y386" s="3">
        <v>0</v>
      </c>
      <c r="Z386" s="3">
        <v>310370.685</v>
      </c>
      <c r="AA386" s="3">
        <v>-310370.685</v>
      </c>
      <c r="AB386" s="3">
        <v>0</v>
      </c>
      <c r="AC386" s="3">
        <v>0</v>
      </c>
      <c r="AD386" s="3">
        <v>0</v>
      </c>
      <c r="AE386" s="3">
        <v>1045172.5678950095</v>
      </c>
      <c r="AF386" s="3">
        <v>0</v>
      </c>
      <c r="AG386" s="3">
        <v>1045172.5678950095</v>
      </c>
      <c r="AH386" s="3">
        <v>1045172.5678950095</v>
      </c>
      <c r="AI386" s="3">
        <v>3.4499999999999997</v>
      </c>
      <c r="AJ386" s="3">
        <v>1050000</v>
      </c>
    </row>
    <row r="387" spans="1:36" x14ac:dyDescent="0.2">
      <c r="A387" s="3" t="s">
        <v>75</v>
      </c>
      <c r="B387" s="3" t="s">
        <v>83</v>
      </c>
      <c r="C387" s="3" t="s">
        <v>94</v>
      </c>
      <c r="D387" s="3">
        <v>3</v>
      </c>
      <c r="E387" s="3">
        <v>2022</v>
      </c>
      <c r="F387" s="3">
        <v>1</v>
      </c>
      <c r="G387" s="3" t="s">
        <v>48</v>
      </c>
      <c r="H387" s="3" t="s">
        <v>40</v>
      </c>
      <c r="I387" s="5">
        <v>195318963.11299998</v>
      </c>
      <c r="J387" s="3">
        <v>2644830.2599999998</v>
      </c>
      <c r="K387" s="3">
        <v>192674132.85299999</v>
      </c>
      <c r="L387" s="3">
        <v>188600042.11300001</v>
      </c>
      <c r="M387" s="3">
        <v>4074090.7399999998</v>
      </c>
      <c r="N387" s="3">
        <v>1885025.3600862157</v>
      </c>
      <c r="O387" s="3">
        <f t="shared" si="6"/>
        <v>0.97834895228223961</v>
      </c>
      <c r="P387" s="3">
        <v>53103.27399999999</v>
      </c>
      <c r="Q387" s="3">
        <v>0</v>
      </c>
      <c r="R387" s="3">
        <v>966735.31808621553</v>
      </c>
      <c r="S387" s="3">
        <v>77001.354999999996</v>
      </c>
      <c r="T387" s="3">
        <v>1214.3999999999999</v>
      </c>
      <c r="U387" s="3">
        <v>407662.07400000002</v>
      </c>
      <c r="V387" s="3">
        <v>379308.93899999995</v>
      </c>
      <c r="W387" s="3">
        <v>0</v>
      </c>
      <c r="X387" s="3">
        <v>2189065.3799137841</v>
      </c>
      <c r="Y387" s="3">
        <v>0</v>
      </c>
      <c r="Z387" s="3">
        <v>524360.30199999991</v>
      </c>
      <c r="AA387" s="3">
        <v>-524360.30199999991</v>
      </c>
      <c r="AB387" s="3">
        <v>0</v>
      </c>
      <c r="AC387" s="3">
        <v>0</v>
      </c>
      <c r="AD387" s="3">
        <v>0</v>
      </c>
      <c r="AE387" s="3">
        <v>1664705.0779137842</v>
      </c>
      <c r="AF387" s="3">
        <v>0</v>
      </c>
      <c r="AG387" s="3">
        <v>1664705.0779137842</v>
      </c>
      <c r="AH387" s="3">
        <v>1664705.0779137842</v>
      </c>
      <c r="AI387" s="3">
        <v>4.3699999999999992</v>
      </c>
      <c r="AJ387" s="3">
        <v>1610000</v>
      </c>
    </row>
    <row r="388" spans="1:36" x14ac:dyDescent="0.2">
      <c r="A388" s="3" t="s">
        <v>75</v>
      </c>
      <c r="B388" s="3" t="s">
        <v>83</v>
      </c>
      <c r="C388" s="3" t="s">
        <v>94</v>
      </c>
      <c r="D388" s="3">
        <v>1</v>
      </c>
      <c r="E388" s="3">
        <v>2022</v>
      </c>
      <c r="F388" s="3">
        <v>1</v>
      </c>
      <c r="G388" s="3" t="s">
        <v>48</v>
      </c>
      <c r="H388" s="3" t="s">
        <v>40</v>
      </c>
      <c r="I388" s="5">
        <v>262542909.27499998</v>
      </c>
      <c r="J388" s="3">
        <v>3553898.5</v>
      </c>
      <c r="K388" s="3">
        <v>258989010.77500001</v>
      </c>
      <c r="L388" s="3">
        <v>254289909.27499998</v>
      </c>
      <c r="M388" s="3">
        <v>4699101.5</v>
      </c>
      <c r="N388" s="3">
        <v>3154729.5896761003</v>
      </c>
      <c r="O388" s="3">
        <f t="shared" si="6"/>
        <v>1.2180939956625463</v>
      </c>
      <c r="P388" s="3">
        <v>57720.950000000004</v>
      </c>
      <c r="Q388" s="3">
        <v>18737.5</v>
      </c>
      <c r="R388" s="3">
        <v>999426.66467610002</v>
      </c>
      <c r="S388" s="3">
        <v>755141.1</v>
      </c>
      <c r="T388" s="3">
        <v>0</v>
      </c>
      <c r="U388" s="3">
        <v>471560.15</v>
      </c>
      <c r="V388" s="3">
        <v>852143.22499999998</v>
      </c>
      <c r="W388" s="3">
        <v>0</v>
      </c>
      <c r="X388" s="3">
        <v>1544371.9103238999</v>
      </c>
      <c r="Y388" s="3">
        <v>0</v>
      </c>
      <c r="Z388" s="3">
        <v>562249.22499999998</v>
      </c>
      <c r="AA388" s="3">
        <v>-562249.22499999998</v>
      </c>
      <c r="AB388" s="3">
        <v>0</v>
      </c>
      <c r="AC388" s="3">
        <v>0</v>
      </c>
      <c r="AD388" s="3">
        <v>0</v>
      </c>
      <c r="AE388" s="3">
        <v>982122.68532389996</v>
      </c>
      <c r="AF388" s="3">
        <v>0</v>
      </c>
      <c r="AG388" s="3">
        <v>982122.68532389996</v>
      </c>
      <c r="AH388" s="3">
        <v>982122.68532389996</v>
      </c>
      <c r="AI388" s="3">
        <v>6.5</v>
      </c>
      <c r="AJ388" s="3">
        <v>1750000</v>
      </c>
    </row>
    <row r="389" spans="1:36" x14ac:dyDescent="0.2">
      <c r="A389" s="3" t="s">
        <v>75</v>
      </c>
      <c r="B389" s="3" t="s">
        <v>83</v>
      </c>
      <c r="C389" s="3" t="s">
        <v>94</v>
      </c>
      <c r="D389" s="3">
        <v>2</v>
      </c>
      <c r="E389" s="3">
        <v>2022</v>
      </c>
      <c r="F389" s="3">
        <v>1</v>
      </c>
      <c r="G389" s="3" t="s">
        <v>39</v>
      </c>
      <c r="H389" s="3" t="s">
        <v>40</v>
      </c>
      <c r="I389" s="5">
        <v>4973836066.6500006</v>
      </c>
      <c r="J389" s="3">
        <v>0</v>
      </c>
      <c r="K389" s="3">
        <v>4973836066.6500006</v>
      </c>
      <c r="L389" s="3">
        <v>4971884774.4041004</v>
      </c>
      <c r="M389" s="3">
        <v>1951292.2458996582</v>
      </c>
      <c r="N389" s="3">
        <v>1682324.9028247511</v>
      </c>
      <c r="O389" s="3">
        <f t="shared" si="6"/>
        <v>3.3823489159702798E-2</v>
      </c>
      <c r="P389" s="3">
        <v>99105.8</v>
      </c>
      <c r="Q389" s="3">
        <v>8241.68</v>
      </c>
      <c r="R389" s="3">
        <v>1047865.072824751</v>
      </c>
      <c r="S389" s="3">
        <v>87788.28</v>
      </c>
      <c r="T389" s="3">
        <v>98369.079999999987</v>
      </c>
      <c r="U389" s="3">
        <v>239597.43</v>
      </c>
      <c r="V389" s="3">
        <v>101357.56</v>
      </c>
      <c r="W389" s="3">
        <v>0</v>
      </c>
      <c r="X389" s="3">
        <v>268967.34307490708</v>
      </c>
      <c r="Y389" s="3">
        <v>18858.29</v>
      </c>
      <c r="Z389" s="3">
        <v>376761.92000000004</v>
      </c>
      <c r="AA389" s="3">
        <v>-357903.63</v>
      </c>
      <c r="AB389" s="3">
        <v>208204.3742941817</v>
      </c>
      <c r="AC389" s="3">
        <v>455000</v>
      </c>
      <c r="AD389" s="3">
        <v>-246795.6257058183</v>
      </c>
      <c r="AE389" s="3">
        <v>-335731.91263091122</v>
      </c>
      <c r="AF389" s="3">
        <v>0</v>
      </c>
      <c r="AG389" s="3">
        <v>-335731.91263091122</v>
      </c>
      <c r="AH389" s="3">
        <v>-335731.91263091122</v>
      </c>
      <c r="AI389" s="3">
        <v>8000000000</v>
      </c>
      <c r="AJ389" s="3">
        <v>800000</v>
      </c>
    </row>
    <row r="390" spans="1:36" x14ac:dyDescent="0.2">
      <c r="A390" s="3" t="s">
        <v>75</v>
      </c>
      <c r="B390" s="3" t="s">
        <v>83</v>
      </c>
      <c r="C390" s="3" t="s">
        <v>94</v>
      </c>
      <c r="D390" s="3">
        <v>3</v>
      </c>
      <c r="E390" s="3">
        <v>2022</v>
      </c>
      <c r="F390" s="3">
        <v>1</v>
      </c>
      <c r="G390" s="3" t="s">
        <v>39</v>
      </c>
      <c r="H390" s="3" t="s">
        <v>40</v>
      </c>
      <c r="I390" s="5">
        <v>8316476142.407999</v>
      </c>
      <c r="J390" s="3">
        <v>0</v>
      </c>
      <c r="K390" s="3">
        <v>8316476142.407999</v>
      </c>
      <c r="L390" s="3">
        <v>8313536157.144001</v>
      </c>
      <c r="M390" s="3">
        <v>2939985.2639999995</v>
      </c>
      <c r="N390" s="3">
        <v>2142345.0235007429</v>
      </c>
      <c r="O390" s="3">
        <f t="shared" si="6"/>
        <v>2.5760249735778548E-2</v>
      </c>
      <c r="P390" s="3">
        <v>118926.95999999999</v>
      </c>
      <c r="Q390" s="3">
        <v>9890.003999999999</v>
      </c>
      <c r="R390" s="3">
        <v>1342445.231500743</v>
      </c>
      <c r="S390" s="3">
        <v>105345.936</v>
      </c>
      <c r="T390" s="3">
        <v>40291.727999999996</v>
      </c>
      <c r="U390" s="3">
        <v>308422.76399999997</v>
      </c>
      <c r="V390" s="3">
        <v>217022.40000000002</v>
      </c>
      <c r="W390" s="3">
        <v>0</v>
      </c>
      <c r="X390" s="3">
        <v>797640.24049925711</v>
      </c>
      <c r="Y390" s="3">
        <v>11767.188000000002</v>
      </c>
      <c r="Z390" s="3">
        <v>240064.28399999999</v>
      </c>
      <c r="AA390" s="3">
        <v>-228297.09599999999</v>
      </c>
      <c r="AB390" s="3">
        <v>201185.24915301806</v>
      </c>
      <c r="AC390" s="3">
        <v>199200</v>
      </c>
      <c r="AD390" s="3">
        <v>1985.2491530180273</v>
      </c>
      <c r="AE390" s="3">
        <v>571328.39365227509</v>
      </c>
      <c r="AF390" s="3">
        <v>0</v>
      </c>
      <c r="AG390" s="3">
        <v>571328.39365227509</v>
      </c>
      <c r="AH390" s="3">
        <v>571328.39365227509</v>
      </c>
      <c r="AI390" s="3">
        <v>14400000000</v>
      </c>
      <c r="AJ390" s="3">
        <v>2040000</v>
      </c>
    </row>
    <row r="391" spans="1:36" x14ac:dyDescent="0.2">
      <c r="A391" s="3" t="s">
        <v>75</v>
      </c>
      <c r="B391" s="3" t="s">
        <v>83</v>
      </c>
      <c r="C391" s="3" t="s">
        <v>94</v>
      </c>
      <c r="D391" s="3">
        <v>1</v>
      </c>
      <c r="E391" s="3">
        <v>2022</v>
      </c>
      <c r="F391" s="3">
        <v>1</v>
      </c>
      <c r="G391" s="3" t="s">
        <v>39</v>
      </c>
      <c r="H391" s="3" t="s">
        <v>40</v>
      </c>
      <c r="I391" s="5">
        <v>15177792332.872</v>
      </c>
      <c r="J391" s="3">
        <v>0</v>
      </c>
      <c r="K391" s="3">
        <v>15177792332.872</v>
      </c>
      <c r="L391" s="3">
        <v>15172004980.801502</v>
      </c>
      <c r="M391" s="3">
        <v>5787352.0705000013</v>
      </c>
      <c r="N391" s="3">
        <v>2887886.9226405541</v>
      </c>
      <c r="O391" s="3">
        <f t="shared" si="6"/>
        <v>1.9027055182366547E-2</v>
      </c>
      <c r="P391" s="3">
        <v>128837.54000000001</v>
      </c>
      <c r="Q391" s="3">
        <v>38607.048999999999</v>
      </c>
      <c r="R391" s="3">
        <v>1369549.8686405541</v>
      </c>
      <c r="S391" s="3">
        <v>114124.764</v>
      </c>
      <c r="T391" s="3">
        <v>186093.77800000002</v>
      </c>
      <c r="U391" s="3">
        <v>678141.78899999999</v>
      </c>
      <c r="V391" s="3">
        <v>372532.13400000002</v>
      </c>
      <c r="W391" s="3">
        <v>0</v>
      </c>
      <c r="X391" s="3">
        <v>2899465.1478594458</v>
      </c>
      <c r="Y391" s="3">
        <v>11332.516</v>
      </c>
      <c r="Z391" s="3">
        <v>497534.92100000003</v>
      </c>
      <c r="AA391" s="3">
        <v>-486202.40500000003</v>
      </c>
      <c r="AB391" s="3">
        <v>78766.960999999996</v>
      </c>
      <c r="AC391" s="3">
        <v>1263340</v>
      </c>
      <c r="AD391" s="3">
        <v>-1184573.0389999999</v>
      </c>
      <c r="AE391" s="3">
        <v>1228689.7038594456</v>
      </c>
      <c r="AF391" s="3">
        <v>0</v>
      </c>
      <c r="AG391" s="3">
        <v>1228689.7038594456</v>
      </c>
      <c r="AH391" s="3">
        <v>1228689.7038594456</v>
      </c>
      <c r="AI391" s="3">
        <v>13000000000</v>
      </c>
      <c r="AJ391" s="3">
        <v>1495000</v>
      </c>
    </row>
    <row r="392" spans="1:36" x14ac:dyDescent="0.2">
      <c r="A392" s="3" t="s">
        <v>75</v>
      </c>
      <c r="B392" s="3" t="s">
        <v>83</v>
      </c>
      <c r="C392" s="3" t="s">
        <v>95</v>
      </c>
      <c r="D392" s="3">
        <v>1</v>
      </c>
      <c r="E392" s="3">
        <v>2022</v>
      </c>
      <c r="F392" s="3">
        <v>1</v>
      </c>
      <c r="G392" s="3" t="s">
        <v>42</v>
      </c>
      <c r="H392" s="3" t="s">
        <v>40</v>
      </c>
      <c r="I392" s="5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 t="e">
        <f t="shared" si="6"/>
        <v>#DIV/0!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</row>
    <row r="393" spans="1:36" x14ac:dyDescent="0.2">
      <c r="A393" s="3" t="s">
        <v>75</v>
      </c>
      <c r="B393" s="3" t="s">
        <v>83</v>
      </c>
      <c r="C393" s="3" t="s">
        <v>95</v>
      </c>
      <c r="D393" s="3">
        <v>1</v>
      </c>
      <c r="E393" s="3">
        <v>2022</v>
      </c>
      <c r="F393" s="3">
        <v>1</v>
      </c>
      <c r="G393" s="3" t="s">
        <v>48</v>
      </c>
      <c r="H393" s="3" t="s">
        <v>46</v>
      </c>
      <c r="I393" s="5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 t="e">
        <f t="shared" si="6"/>
        <v>#DIV/0!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</row>
    <row r="394" spans="1:36" x14ac:dyDescent="0.2">
      <c r="A394" s="3" t="s">
        <v>75</v>
      </c>
      <c r="B394" s="3" t="s">
        <v>83</v>
      </c>
      <c r="C394" s="3" t="s">
        <v>95</v>
      </c>
      <c r="D394" s="3">
        <v>1</v>
      </c>
      <c r="E394" s="3">
        <v>2022</v>
      </c>
      <c r="F394" s="3">
        <v>1</v>
      </c>
      <c r="G394" s="3" t="s">
        <v>39</v>
      </c>
      <c r="H394" s="3" t="s">
        <v>40</v>
      </c>
      <c r="I394" s="5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 t="e">
        <f t="shared" si="6"/>
        <v>#DIV/0!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</row>
    <row r="395" spans="1:36" x14ac:dyDescent="0.2">
      <c r="A395" s="3" t="s">
        <v>75</v>
      </c>
      <c r="B395" s="3" t="s">
        <v>83</v>
      </c>
      <c r="C395" s="3" t="s">
        <v>95</v>
      </c>
      <c r="D395" s="3">
        <v>2</v>
      </c>
      <c r="E395" s="3">
        <v>2022</v>
      </c>
      <c r="F395" s="3">
        <v>1</v>
      </c>
      <c r="G395" s="3" t="s">
        <v>42</v>
      </c>
      <c r="H395" s="3" t="s">
        <v>40</v>
      </c>
      <c r="I395" s="5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 t="e">
        <f t="shared" si="6"/>
        <v>#DIV/0!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</row>
    <row r="396" spans="1:36" x14ac:dyDescent="0.2">
      <c r="A396" s="3" t="s">
        <v>75</v>
      </c>
      <c r="B396" s="3" t="s">
        <v>83</v>
      </c>
      <c r="C396" s="3" t="s">
        <v>95</v>
      </c>
      <c r="D396" s="3">
        <v>2</v>
      </c>
      <c r="E396" s="3">
        <v>2022</v>
      </c>
      <c r="F396" s="3">
        <v>1</v>
      </c>
      <c r="G396" s="3" t="s">
        <v>39</v>
      </c>
      <c r="H396" s="3" t="s">
        <v>40</v>
      </c>
      <c r="I396" s="5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 t="e">
        <f t="shared" si="6"/>
        <v>#DIV/0!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</row>
    <row r="397" spans="1:36" x14ac:dyDescent="0.2">
      <c r="A397" s="3" t="s">
        <v>75</v>
      </c>
      <c r="B397" s="3" t="s">
        <v>83</v>
      </c>
      <c r="C397" s="3" t="s">
        <v>95</v>
      </c>
      <c r="D397" s="3">
        <v>3</v>
      </c>
      <c r="E397" s="3">
        <v>2022</v>
      </c>
      <c r="F397" s="3">
        <v>1</v>
      </c>
      <c r="G397" s="3" t="s">
        <v>42</v>
      </c>
      <c r="H397" s="3" t="s">
        <v>40</v>
      </c>
      <c r="I397" s="5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 t="e">
        <f t="shared" si="6"/>
        <v>#DIV/0!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</row>
    <row r="398" spans="1:36" x14ac:dyDescent="0.2">
      <c r="A398" s="3" t="s">
        <v>75</v>
      </c>
      <c r="B398" s="3" t="s">
        <v>83</v>
      </c>
      <c r="C398" s="3" t="s">
        <v>95</v>
      </c>
      <c r="D398" s="3">
        <v>3</v>
      </c>
      <c r="E398" s="3">
        <v>2022</v>
      </c>
      <c r="F398" s="3">
        <v>1</v>
      </c>
      <c r="G398" s="3" t="s">
        <v>39</v>
      </c>
      <c r="H398" s="3" t="s">
        <v>40</v>
      </c>
      <c r="I398" s="5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 t="e">
        <f t="shared" si="6"/>
        <v>#DIV/0!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</row>
    <row r="399" spans="1:36" x14ac:dyDescent="0.2">
      <c r="A399" s="3" t="s">
        <v>75</v>
      </c>
      <c r="B399" s="3" t="s">
        <v>83</v>
      </c>
      <c r="C399" s="3" t="s">
        <v>95</v>
      </c>
      <c r="D399" s="3">
        <v>3</v>
      </c>
      <c r="E399" s="3">
        <v>2022</v>
      </c>
      <c r="F399" s="3">
        <v>1</v>
      </c>
      <c r="G399" s="3" t="s">
        <v>42</v>
      </c>
      <c r="H399" s="3" t="s">
        <v>46</v>
      </c>
      <c r="I399" s="5">
        <v>257895.00000000003</v>
      </c>
      <c r="J399" s="3">
        <v>10831.7</v>
      </c>
      <c r="K399" s="3">
        <v>247063.30000000005</v>
      </c>
      <c r="L399" s="3">
        <v>158037.00000000003</v>
      </c>
      <c r="M399" s="3">
        <v>89026.299999999988</v>
      </c>
      <c r="N399" s="3">
        <v>308531.03580561408</v>
      </c>
      <c r="O399" s="3">
        <f t="shared" si="6"/>
        <v>124.87934703600818</v>
      </c>
      <c r="P399" s="3">
        <v>103510</v>
      </c>
      <c r="Q399" s="3">
        <v>40998.199000000008</v>
      </c>
      <c r="R399" s="3">
        <v>85787.734805614076</v>
      </c>
      <c r="S399" s="3">
        <v>18487.986000000001</v>
      </c>
      <c r="T399" s="3">
        <v>0</v>
      </c>
      <c r="U399" s="3">
        <v>8902.630000000001</v>
      </c>
      <c r="V399" s="3">
        <v>50844.486000000004</v>
      </c>
      <c r="W399" s="3">
        <v>0</v>
      </c>
      <c r="X399" s="3">
        <v>-219504.73580561407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-219504.73580561407</v>
      </c>
      <c r="AF399" s="3">
        <v>0</v>
      </c>
      <c r="AG399" s="3">
        <v>-219504.73580561407</v>
      </c>
      <c r="AH399" s="3">
        <v>-219504.73580561407</v>
      </c>
      <c r="AI399" s="3">
        <v>440000</v>
      </c>
      <c r="AJ399" s="3">
        <v>140800.00000000003</v>
      </c>
    </row>
    <row r="400" spans="1:36" x14ac:dyDescent="0.2">
      <c r="A400" s="3" t="s">
        <v>75</v>
      </c>
      <c r="B400" s="3" t="s">
        <v>83</v>
      </c>
      <c r="C400" s="3" t="s">
        <v>95</v>
      </c>
      <c r="D400" s="3">
        <v>2</v>
      </c>
      <c r="E400" s="3">
        <v>2022</v>
      </c>
      <c r="F400" s="3">
        <v>1</v>
      </c>
      <c r="G400" s="3" t="s">
        <v>42</v>
      </c>
      <c r="H400" s="3" t="s">
        <v>46</v>
      </c>
      <c r="I400" s="5">
        <v>533400</v>
      </c>
      <c r="J400" s="3">
        <v>5208</v>
      </c>
      <c r="K400" s="3">
        <v>528192</v>
      </c>
      <c r="L400" s="3">
        <v>329160</v>
      </c>
      <c r="M400" s="3">
        <v>199032</v>
      </c>
      <c r="N400" s="3">
        <v>639507.43386004434</v>
      </c>
      <c r="O400" s="3">
        <f t="shared" ref="O400:O463" si="7">N400/K400*100</f>
        <v>121.07480496865617</v>
      </c>
      <c r="P400" s="3">
        <v>225840</v>
      </c>
      <c r="Q400" s="3">
        <v>89338.824000000008</v>
      </c>
      <c r="R400" s="3">
        <v>178610.68986004434</v>
      </c>
      <c r="S400" s="3">
        <v>39794.663999999997</v>
      </c>
      <c r="T400" s="3">
        <v>0</v>
      </c>
      <c r="U400" s="3">
        <v>19903.2</v>
      </c>
      <c r="V400" s="3">
        <v>86020.056000000011</v>
      </c>
      <c r="W400" s="3">
        <v>0</v>
      </c>
      <c r="X400" s="3">
        <v>-440475.43386004434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-440475.43386004434</v>
      </c>
      <c r="AF400" s="3">
        <v>0</v>
      </c>
      <c r="AG400" s="3">
        <v>-440475.43386004434</v>
      </c>
      <c r="AH400" s="3">
        <v>-440475.43386004434</v>
      </c>
      <c r="AI400" s="3">
        <v>960000</v>
      </c>
      <c r="AJ400" s="3">
        <v>307200</v>
      </c>
    </row>
    <row r="401" spans="1:36" x14ac:dyDescent="0.2">
      <c r="A401" s="3" t="s">
        <v>75</v>
      </c>
      <c r="B401" s="3" t="s">
        <v>83</v>
      </c>
      <c r="C401" s="3" t="s">
        <v>95</v>
      </c>
      <c r="D401" s="3">
        <v>1</v>
      </c>
      <c r="E401" s="3">
        <v>2022</v>
      </c>
      <c r="F401" s="3">
        <v>1</v>
      </c>
      <c r="G401" s="3" t="s">
        <v>42</v>
      </c>
      <c r="H401" s="3" t="s">
        <v>46</v>
      </c>
      <c r="I401" s="5">
        <v>906690</v>
      </c>
      <c r="J401" s="3">
        <v>87072</v>
      </c>
      <c r="K401" s="3">
        <v>819618</v>
      </c>
      <c r="L401" s="3">
        <v>547614</v>
      </c>
      <c r="M401" s="3">
        <v>272004</v>
      </c>
      <c r="N401" s="3">
        <v>470356.60763857776</v>
      </c>
      <c r="O401" s="3">
        <f t="shared" si="7"/>
        <v>57.387295988933595</v>
      </c>
      <c r="P401" s="3">
        <v>141150</v>
      </c>
      <c r="Q401" s="3">
        <v>53507.805</v>
      </c>
      <c r="R401" s="3">
        <v>120606.16763857778</v>
      </c>
      <c r="S401" s="3">
        <v>49346.565000000002</v>
      </c>
      <c r="T401" s="3">
        <v>0</v>
      </c>
      <c r="U401" s="3">
        <v>28611.885000000002</v>
      </c>
      <c r="V401" s="3">
        <v>77134.184999999998</v>
      </c>
      <c r="W401" s="3">
        <v>0</v>
      </c>
      <c r="X401" s="3">
        <v>-198352.60763857776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-198352.60763857776</v>
      </c>
      <c r="AF401" s="3">
        <v>0</v>
      </c>
      <c r="AG401" s="3">
        <v>-198352.60763857776</v>
      </c>
      <c r="AH401" s="3">
        <v>-198352.60763857776</v>
      </c>
      <c r="AI401" s="3">
        <v>600000</v>
      </c>
      <c r="AJ401" s="3">
        <v>192000</v>
      </c>
    </row>
    <row r="402" spans="1:36" x14ac:dyDescent="0.2">
      <c r="A402" s="3" t="s">
        <v>75</v>
      </c>
      <c r="B402" s="3" t="s">
        <v>83</v>
      </c>
      <c r="C402" s="3" t="s">
        <v>95</v>
      </c>
      <c r="D402" s="3">
        <v>2</v>
      </c>
      <c r="E402" s="3">
        <v>2022</v>
      </c>
      <c r="F402" s="3">
        <v>1</v>
      </c>
      <c r="G402" s="3" t="s">
        <v>48</v>
      </c>
      <c r="H402" s="3" t="s">
        <v>46</v>
      </c>
      <c r="I402" s="5">
        <v>6942600</v>
      </c>
      <c r="J402" s="3">
        <v>37968</v>
      </c>
      <c r="K402" s="3">
        <v>6904632</v>
      </c>
      <c r="L402" s="3">
        <v>4488788.0379999997</v>
      </c>
      <c r="M402" s="3">
        <v>2415843.9619999998</v>
      </c>
      <c r="N402" s="3">
        <v>3547236.5998538062</v>
      </c>
      <c r="O402" s="3">
        <f t="shared" si="7"/>
        <v>51.374737999850048</v>
      </c>
      <c r="P402" s="3">
        <v>1115940</v>
      </c>
      <c r="Q402" s="3">
        <v>523253.09399999998</v>
      </c>
      <c r="R402" s="3">
        <v>1001618.4618538059</v>
      </c>
      <c r="S402" s="3">
        <v>96320.111999999994</v>
      </c>
      <c r="T402" s="3">
        <v>50706.613999999987</v>
      </c>
      <c r="U402" s="3">
        <v>315695.75799999997</v>
      </c>
      <c r="V402" s="3">
        <v>443702.56</v>
      </c>
      <c r="W402" s="3">
        <v>0</v>
      </c>
      <c r="X402" s="3">
        <v>-1131392.6378538061</v>
      </c>
      <c r="Y402" s="3">
        <v>390.80899730055052</v>
      </c>
      <c r="Z402" s="3">
        <v>302141.53200000001</v>
      </c>
      <c r="AA402" s="3">
        <v>-301750.72300269944</v>
      </c>
      <c r="AB402" s="3">
        <v>3780</v>
      </c>
      <c r="AC402" s="3">
        <v>3780</v>
      </c>
      <c r="AD402" s="3">
        <v>0</v>
      </c>
      <c r="AE402" s="3">
        <v>-1433143.3608565056</v>
      </c>
      <c r="AF402" s="3">
        <v>0</v>
      </c>
      <c r="AG402" s="3">
        <v>-1433143.3608565056</v>
      </c>
      <c r="AH402" s="3">
        <v>-1433143.3608565056</v>
      </c>
      <c r="AI402" s="3">
        <v>11200000</v>
      </c>
      <c r="AJ402" s="3">
        <v>-221723.99974234923</v>
      </c>
    </row>
    <row r="403" spans="1:36" x14ac:dyDescent="0.2">
      <c r="A403" s="3" t="s">
        <v>75</v>
      </c>
      <c r="B403" s="3" t="s">
        <v>83</v>
      </c>
      <c r="C403" s="3" t="s">
        <v>95</v>
      </c>
      <c r="D403" s="3">
        <v>3</v>
      </c>
      <c r="E403" s="3">
        <v>2022</v>
      </c>
      <c r="F403" s="3">
        <v>1</v>
      </c>
      <c r="G403" s="3" t="s">
        <v>48</v>
      </c>
      <c r="H403" s="3" t="s">
        <v>46</v>
      </c>
      <c r="I403" s="5">
        <v>7499844.0000000019</v>
      </c>
      <c r="J403" s="3">
        <v>439857</v>
      </c>
      <c r="K403" s="3">
        <v>7059987</v>
      </c>
      <c r="L403" s="3">
        <v>4524954.7750000004</v>
      </c>
      <c r="M403" s="3">
        <v>2535032.2250000006</v>
      </c>
      <c r="N403" s="3">
        <v>3083501.1530871219</v>
      </c>
      <c r="O403" s="3">
        <f t="shared" si="7"/>
        <v>43.675734149186418</v>
      </c>
      <c r="P403" s="3">
        <v>876810</v>
      </c>
      <c r="Q403" s="3">
        <v>372981.86200000002</v>
      </c>
      <c r="R403" s="3">
        <v>836389.88008712127</v>
      </c>
      <c r="S403" s="3">
        <v>129647.07800000001</v>
      </c>
      <c r="T403" s="3">
        <v>107637.629</v>
      </c>
      <c r="U403" s="3">
        <v>314685.92100000003</v>
      </c>
      <c r="V403" s="3">
        <v>445348.78300000005</v>
      </c>
      <c r="W403" s="3">
        <v>0</v>
      </c>
      <c r="X403" s="3">
        <v>-548468.92808712157</v>
      </c>
      <c r="Y403" s="3">
        <v>326.61446652400537</v>
      </c>
      <c r="Z403" s="3">
        <v>246718.64799999999</v>
      </c>
      <c r="AA403" s="3">
        <v>-246392.03353347603</v>
      </c>
      <c r="AB403" s="3">
        <v>18315.000000000004</v>
      </c>
      <c r="AC403" s="3">
        <v>18315.000000000004</v>
      </c>
      <c r="AD403" s="3">
        <v>0</v>
      </c>
      <c r="AE403" s="3">
        <v>-794860.96162059752</v>
      </c>
      <c r="AF403" s="3">
        <v>0</v>
      </c>
      <c r="AG403" s="3">
        <v>-794860.96162059752</v>
      </c>
      <c r="AH403" s="3">
        <v>-794860.96162059752</v>
      </c>
      <c r="AI403" s="3">
        <v>9900000.0000000019</v>
      </c>
      <c r="AJ403" s="3">
        <v>155788.28591672558</v>
      </c>
    </row>
    <row r="404" spans="1:36" x14ac:dyDescent="0.2">
      <c r="A404" s="3" t="s">
        <v>75</v>
      </c>
      <c r="B404" s="3" t="s">
        <v>83</v>
      </c>
      <c r="C404" s="3" t="s">
        <v>95</v>
      </c>
      <c r="D404" s="3">
        <v>1</v>
      </c>
      <c r="E404" s="3">
        <v>2022</v>
      </c>
      <c r="F404" s="3">
        <v>1</v>
      </c>
      <c r="G404" s="3" t="s">
        <v>48</v>
      </c>
      <c r="H404" s="3" t="s">
        <v>46</v>
      </c>
      <c r="I404" s="5">
        <v>13988052</v>
      </c>
      <c r="J404" s="3">
        <v>505524</v>
      </c>
      <c r="K404" s="3">
        <v>13482528</v>
      </c>
      <c r="L404" s="3">
        <v>10259670.396</v>
      </c>
      <c r="M404" s="3">
        <v>3222857.6039999998</v>
      </c>
      <c r="N404" s="3">
        <v>3490752.3346758466</v>
      </c>
      <c r="O404" s="3">
        <f t="shared" si="7"/>
        <v>25.890933322562702</v>
      </c>
      <c r="P404" s="3">
        <v>956520</v>
      </c>
      <c r="Q404" s="3">
        <v>390633.27600000007</v>
      </c>
      <c r="R404" s="3">
        <v>925603.3906758466</v>
      </c>
      <c r="S404" s="3">
        <v>98605.367999999988</v>
      </c>
      <c r="T404" s="3">
        <v>147215.08799999999</v>
      </c>
      <c r="U404" s="3">
        <v>433476.96</v>
      </c>
      <c r="V404" s="3">
        <v>538698.25199999986</v>
      </c>
      <c r="W404" s="3">
        <v>0</v>
      </c>
      <c r="X404" s="3">
        <v>-267894.73067584704</v>
      </c>
      <c r="Y404" s="3">
        <v>400.80623640781789</v>
      </c>
      <c r="Z404" s="3">
        <v>252627.15599999999</v>
      </c>
      <c r="AA404" s="3">
        <v>-252226.34976359218</v>
      </c>
      <c r="AB404" s="3">
        <v>10860</v>
      </c>
      <c r="AC404" s="3">
        <v>10860</v>
      </c>
      <c r="AD404" s="3">
        <v>0</v>
      </c>
      <c r="AE404" s="3">
        <v>-520121.08043943928</v>
      </c>
      <c r="AF404" s="3">
        <v>0</v>
      </c>
      <c r="AG404" s="3">
        <v>-520121.08043943928</v>
      </c>
      <c r="AH404" s="3">
        <v>-520121.08043943928</v>
      </c>
      <c r="AI404" s="3">
        <v>9600000</v>
      </c>
      <c r="AJ404" s="3">
        <v>-190049.14800000002</v>
      </c>
    </row>
    <row r="405" spans="1:36" x14ac:dyDescent="0.2">
      <c r="A405" s="3" t="s">
        <v>75</v>
      </c>
      <c r="B405" s="3" t="s">
        <v>83</v>
      </c>
      <c r="C405" s="3" t="s">
        <v>95</v>
      </c>
      <c r="D405" s="3">
        <v>1</v>
      </c>
      <c r="E405" s="3">
        <v>2022</v>
      </c>
      <c r="F405" s="3">
        <v>1</v>
      </c>
      <c r="G405" s="3" t="s">
        <v>39</v>
      </c>
      <c r="H405" s="3" t="s">
        <v>46</v>
      </c>
      <c r="I405" s="5">
        <v>42627605.714999996</v>
      </c>
      <c r="J405" s="3">
        <v>0</v>
      </c>
      <c r="K405" s="3">
        <v>42627605.714999996</v>
      </c>
      <c r="L405" s="3">
        <v>42578972.400000006</v>
      </c>
      <c r="M405" s="3">
        <v>48633.315000000002</v>
      </c>
      <c r="N405" s="3">
        <v>205368.71147847117</v>
      </c>
      <c r="O405" s="3">
        <f t="shared" si="7"/>
        <v>0.48177397729426097</v>
      </c>
      <c r="P405" s="3">
        <v>57300</v>
      </c>
      <c r="Q405" s="3">
        <v>22284.195</v>
      </c>
      <c r="R405" s="3">
        <v>71239.521478471142</v>
      </c>
      <c r="S405" s="3">
        <v>4890.6900000000005</v>
      </c>
      <c r="T405" s="3">
        <v>12712.635</v>
      </c>
      <c r="U405" s="3">
        <v>5437.4850000000006</v>
      </c>
      <c r="V405" s="3">
        <v>31504.185000000001</v>
      </c>
      <c r="W405" s="3">
        <v>0</v>
      </c>
      <c r="X405" s="3">
        <v>-156735.39647847114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-156735.39647847114</v>
      </c>
      <c r="AF405" s="3">
        <v>0</v>
      </c>
      <c r="AG405" s="3">
        <v>-156735.39647847114</v>
      </c>
      <c r="AH405" s="3">
        <v>-156735.39647847114</v>
      </c>
      <c r="AI405" s="3">
        <v>30000000</v>
      </c>
      <c r="AJ405" s="3">
        <v>0</v>
      </c>
    </row>
    <row r="406" spans="1:36" x14ac:dyDescent="0.2">
      <c r="A406" s="3" t="s">
        <v>75</v>
      </c>
      <c r="B406" s="3" t="s">
        <v>83</v>
      </c>
      <c r="C406" s="3" t="s">
        <v>95</v>
      </c>
      <c r="D406" s="3">
        <v>2</v>
      </c>
      <c r="E406" s="3">
        <v>2022</v>
      </c>
      <c r="F406" s="3">
        <v>1</v>
      </c>
      <c r="G406" s="3" t="s">
        <v>39</v>
      </c>
      <c r="H406" s="3" t="s">
        <v>46</v>
      </c>
      <c r="I406" s="5">
        <v>75584365.142000005</v>
      </c>
      <c r="J406" s="3">
        <v>0</v>
      </c>
      <c r="K406" s="3">
        <v>75584365.142000005</v>
      </c>
      <c r="L406" s="3">
        <v>75524910.824000001</v>
      </c>
      <c r="M406" s="3">
        <v>59454.317999999999</v>
      </c>
      <c r="N406" s="3">
        <v>289182.91575175663</v>
      </c>
      <c r="O406" s="3">
        <f t="shared" si="7"/>
        <v>0.38259620916107451</v>
      </c>
      <c r="P406" s="3">
        <v>84040</v>
      </c>
      <c r="Q406" s="3">
        <v>46880.394000000008</v>
      </c>
      <c r="R406" s="3">
        <v>101919.00375175667</v>
      </c>
      <c r="S406" s="3">
        <v>7173.0120000000006</v>
      </c>
      <c r="T406" s="3">
        <v>10406.066000000001</v>
      </c>
      <c r="U406" s="3">
        <v>6483.9940000000006</v>
      </c>
      <c r="V406" s="3">
        <v>32280.446000000004</v>
      </c>
      <c r="W406" s="3">
        <v>0</v>
      </c>
      <c r="X406" s="3">
        <v>-229728.59775175664</v>
      </c>
      <c r="Y406" s="3">
        <v>0</v>
      </c>
      <c r="Z406" s="3">
        <v>0</v>
      </c>
      <c r="AA406" s="3">
        <v>0</v>
      </c>
      <c r="AB406" s="3">
        <v>50796.542579594607</v>
      </c>
      <c r="AC406" s="3">
        <v>7264.4000000000015</v>
      </c>
      <c r="AD406" s="3">
        <v>43532.142579594612</v>
      </c>
      <c r="AE406" s="3">
        <v>-186196.45517216207</v>
      </c>
      <c r="AF406" s="3">
        <v>0</v>
      </c>
      <c r="AG406" s="3">
        <v>-186196.45517216207</v>
      </c>
      <c r="AH406" s="3">
        <v>-186196.45517216207</v>
      </c>
      <c r="AI406" s="3">
        <v>66000000.000000007</v>
      </c>
      <c r="AJ406" s="3">
        <v>0</v>
      </c>
    </row>
    <row r="407" spans="1:36" x14ac:dyDescent="0.2">
      <c r="A407" s="3" t="s">
        <v>75</v>
      </c>
      <c r="B407" s="3" t="s">
        <v>83</v>
      </c>
      <c r="C407" s="3" t="s">
        <v>95</v>
      </c>
      <c r="D407" s="3">
        <v>3</v>
      </c>
      <c r="E407" s="3">
        <v>2022</v>
      </c>
      <c r="F407" s="3">
        <v>1</v>
      </c>
      <c r="G407" s="3" t="s">
        <v>39</v>
      </c>
      <c r="H407" s="3" t="s">
        <v>46</v>
      </c>
      <c r="I407" s="5">
        <v>140414775.90000001</v>
      </c>
      <c r="J407" s="3">
        <v>0</v>
      </c>
      <c r="K407" s="3">
        <v>140414775.90000001</v>
      </c>
      <c r="L407" s="3">
        <v>140301876.40000001</v>
      </c>
      <c r="M407" s="3">
        <v>112899.5</v>
      </c>
      <c r="N407" s="3">
        <v>329922.19093746162</v>
      </c>
      <c r="O407" s="3">
        <f t="shared" si="7"/>
        <v>0.23496258767839659</v>
      </c>
      <c r="P407" s="3">
        <v>95500</v>
      </c>
      <c r="Q407" s="3">
        <v>38764.525000000001</v>
      </c>
      <c r="R407" s="3">
        <v>113942.34093746163</v>
      </c>
      <c r="S407" s="3">
        <v>14051.15</v>
      </c>
      <c r="T407" s="3">
        <v>9149.0499999999993</v>
      </c>
      <c r="U407" s="3">
        <v>11289.949999999999</v>
      </c>
      <c r="V407" s="3">
        <v>47225.175000000003</v>
      </c>
      <c r="W407" s="3">
        <v>0</v>
      </c>
      <c r="X407" s="3">
        <v>-217022.69093746162</v>
      </c>
      <c r="Y407" s="3">
        <v>0</v>
      </c>
      <c r="Z407" s="3">
        <v>0</v>
      </c>
      <c r="AA407" s="3">
        <v>0</v>
      </c>
      <c r="AB407" s="3">
        <v>43348.343840448404</v>
      </c>
      <c r="AC407" s="3">
        <v>0</v>
      </c>
      <c r="AD407" s="3">
        <v>43348.343840448404</v>
      </c>
      <c r="AE407" s="3">
        <v>-173674.3470970132</v>
      </c>
      <c r="AF407" s="3">
        <v>0</v>
      </c>
      <c r="AG407" s="3">
        <v>-173674.3470970132</v>
      </c>
      <c r="AH407" s="3">
        <v>-173674.3470970132</v>
      </c>
      <c r="AI407" s="3">
        <v>50000000</v>
      </c>
      <c r="AJ407" s="3">
        <v>0</v>
      </c>
    </row>
    <row r="408" spans="1:36" x14ac:dyDescent="0.2">
      <c r="A408" s="3" t="s">
        <v>75</v>
      </c>
      <c r="B408" s="3" t="s">
        <v>83</v>
      </c>
      <c r="C408" s="3" t="s">
        <v>96</v>
      </c>
      <c r="D408" s="3">
        <v>1</v>
      </c>
      <c r="E408" s="3">
        <v>2022</v>
      </c>
      <c r="F408" s="3">
        <v>1</v>
      </c>
      <c r="G408" s="3" t="s">
        <v>42</v>
      </c>
      <c r="H408" s="3" t="s">
        <v>40</v>
      </c>
      <c r="I408" s="5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 t="e">
        <f t="shared" si="7"/>
        <v>#DIV/0!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</row>
    <row r="409" spans="1:36" x14ac:dyDescent="0.2">
      <c r="A409" s="3" t="s">
        <v>75</v>
      </c>
      <c r="B409" s="3" t="s">
        <v>83</v>
      </c>
      <c r="C409" s="3" t="s">
        <v>96</v>
      </c>
      <c r="D409" s="3">
        <v>1</v>
      </c>
      <c r="E409" s="3">
        <v>2022</v>
      </c>
      <c r="F409" s="3">
        <v>1</v>
      </c>
      <c r="G409" s="3" t="s">
        <v>39</v>
      </c>
      <c r="H409" s="3" t="s">
        <v>40</v>
      </c>
      <c r="I409" s="5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 t="e">
        <f t="shared" si="7"/>
        <v>#DIV/0!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</row>
    <row r="410" spans="1:36" x14ac:dyDescent="0.2">
      <c r="A410" s="3" t="s">
        <v>75</v>
      </c>
      <c r="B410" s="3" t="s">
        <v>83</v>
      </c>
      <c r="C410" s="3" t="s">
        <v>96</v>
      </c>
      <c r="D410" s="3">
        <v>2</v>
      </c>
      <c r="E410" s="3">
        <v>2022</v>
      </c>
      <c r="F410" s="3">
        <v>1</v>
      </c>
      <c r="G410" s="3" t="s">
        <v>42</v>
      </c>
      <c r="H410" s="3" t="s">
        <v>40</v>
      </c>
      <c r="I410" s="5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 t="e">
        <f t="shared" si="7"/>
        <v>#DIV/0!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</row>
    <row r="411" spans="1:36" x14ac:dyDescent="0.2">
      <c r="A411" s="3" t="s">
        <v>75</v>
      </c>
      <c r="B411" s="3" t="s">
        <v>83</v>
      </c>
      <c r="C411" s="3" t="s">
        <v>96</v>
      </c>
      <c r="D411" s="3">
        <v>2</v>
      </c>
      <c r="E411" s="3">
        <v>2022</v>
      </c>
      <c r="F411" s="3">
        <v>1</v>
      </c>
      <c r="G411" s="3" t="s">
        <v>39</v>
      </c>
      <c r="H411" s="3" t="s">
        <v>40</v>
      </c>
      <c r="I411" s="5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 t="e">
        <f t="shared" si="7"/>
        <v>#DIV/0!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</row>
    <row r="412" spans="1:36" x14ac:dyDescent="0.2">
      <c r="A412" s="3" t="s">
        <v>75</v>
      </c>
      <c r="B412" s="3" t="s">
        <v>83</v>
      </c>
      <c r="C412" s="3" t="s">
        <v>96</v>
      </c>
      <c r="D412" s="3">
        <v>3</v>
      </c>
      <c r="E412" s="3">
        <v>2022</v>
      </c>
      <c r="F412" s="3">
        <v>1</v>
      </c>
      <c r="G412" s="3" t="s">
        <v>42</v>
      </c>
      <c r="H412" s="3" t="s">
        <v>40</v>
      </c>
      <c r="I412" s="5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 t="e">
        <f t="shared" si="7"/>
        <v>#DIV/0!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</row>
    <row r="413" spans="1:36" x14ac:dyDescent="0.2">
      <c r="A413" s="3" t="s">
        <v>75</v>
      </c>
      <c r="B413" s="3" t="s">
        <v>83</v>
      </c>
      <c r="C413" s="3" t="s">
        <v>96</v>
      </c>
      <c r="D413" s="3">
        <v>3</v>
      </c>
      <c r="E413" s="3">
        <v>2022</v>
      </c>
      <c r="F413" s="3">
        <v>1</v>
      </c>
      <c r="G413" s="3" t="s">
        <v>39</v>
      </c>
      <c r="H413" s="3" t="s">
        <v>40</v>
      </c>
      <c r="I413" s="5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 t="e">
        <f t="shared" si="7"/>
        <v>#DIV/0!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</row>
    <row r="414" spans="1:36" x14ac:dyDescent="0.2">
      <c r="A414" s="3" t="s">
        <v>75</v>
      </c>
      <c r="B414" s="3" t="s">
        <v>83</v>
      </c>
      <c r="C414" s="3" t="s">
        <v>96</v>
      </c>
      <c r="D414" s="3">
        <v>3</v>
      </c>
      <c r="E414" s="3">
        <v>2022</v>
      </c>
      <c r="F414" s="3">
        <v>1</v>
      </c>
      <c r="G414" s="3" t="s">
        <v>42</v>
      </c>
      <c r="H414" s="3" t="s">
        <v>46</v>
      </c>
      <c r="I414" s="5">
        <v>41056</v>
      </c>
      <c r="J414" s="3">
        <v>0</v>
      </c>
      <c r="K414" s="3">
        <v>41056</v>
      </c>
      <c r="L414" s="3">
        <v>24633.600000000002</v>
      </c>
      <c r="M414" s="3">
        <v>16422.400000000001</v>
      </c>
      <c r="N414" s="3">
        <v>347568.76861215674</v>
      </c>
      <c r="O414" s="3">
        <f t="shared" si="7"/>
        <v>846.5724099087995</v>
      </c>
      <c r="P414" s="3">
        <v>120803.55200000003</v>
      </c>
      <c r="Q414" s="3">
        <v>53606.912000000004</v>
      </c>
      <c r="R414" s="3">
        <v>131049.76061215677</v>
      </c>
      <c r="S414" s="3">
        <v>10838.896000000002</v>
      </c>
      <c r="T414" s="3">
        <v>0</v>
      </c>
      <c r="U414" s="3">
        <v>1642.2399999999998</v>
      </c>
      <c r="V414" s="3">
        <v>29627.408000000003</v>
      </c>
      <c r="W414" s="3">
        <v>0</v>
      </c>
      <c r="X414" s="3">
        <v>-331146.36861215683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-331146.36861215683</v>
      </c>
      <c r="AF414" s="3">
        <v>0</v>
      </c>
      <c r="AG414" s="3">
        <v>-331146.36861215683</v>
      </c>
      <c r="AH414" s="3">
        <v>-331146.36861215683</v>
      </c>
      <c r="AI414" s="3">
        <v>320000</v>
      </c>
      <c r="AJ414" s="3">
        <v>48000</v>
      </c>
    </row>
    <row r="415" spans="1:36" x14ac:dyDescent="0.2">
      <c r="A415" s="3" t="s">
        <v>75</v>
      </c>
      <c r="B415" s="3" t="s">
        <v>83</v>
      </c>
      <c r="C415" s="3" t="s">
        <v>96</v>
      </c>
      <c r="D415" s="3">
        <v>1</v>
      </c>
      <c r="E415" s="3">
        <v>2022</v>
      </c>
      <c r="F415" s="3">
        <v>1</v>
      </c>
      <c r="G415" s="3" t="s">
        <v>42</v>
      </c>
      <c r="H415" s="3" t="s">
        <v>46</v>
      </c>
      <c r="I415" s="5">
        <v>44800</v>
      </c>
      <c r="J415" s="3">
        <v>0</v>
      </c>
      <c r="K415" s="3">
        <v>44800</v>
      </c>
      <c r="L415" s="3">
        <v>31360</v>
      </c>
      <c r="M415" s="3">
        <v>13440</v>
      </c>
      <c r="N415" s="3">
        <v>600208.16319282097</v>
      </c>
      <c r="O415" s="3">
        <f t="shared" si="7"/>
        <v>1339.7503642696897</v>
      </c>
      <c r="P415" s="3">
        <v>116230.772</v>
      </c>
      <c r="Q415" s="3">
        <v>88594.323999999979</v>
      </c>
      <c r="R415" s="3">
        <v>254496.89519282107</v>
      </c>
      <c r="S415" s="3">
        <v>17615.667999999998</v>
      </c>
      <c r="T415" s="3">
        <v>0</v>
      </c>
      <c r="U415" s="3">
        <v>4414.1719999999996</v>
      </c>
      <c r="V415" s="3">
        <v>118856.33199999998</v>
      </c>
      <c r="W415" s="3">
        <v>0</v>
      </c>
      <c r="X415" s="3">
        <v>-586768.16319282108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-586768.16319282108</v>
      </c>
      <c r="AF415" s="3">
        <v>0</v>
      </c>
      <c r="AG415" s="3">
        <v>-586768.16319282108</v>
      </c>
      <c r="AH415" s="3">
        <v>-586768.16319282108</v>
      </c>
      <c r="AI415" s="3">
        <v>560000</v>
      </c>
      <c r="AJ415" s="3">
        <v>84000</v>
      </c>
    </row>
    <row r="416" spans="1:36" x14ac:dyDescent="0.2">
      <c r="A416" s="3" t="s">
        <v>75</v>
      </c>
      <c r="B416" s="3" t="s">
        <v>83</v>
      </c>
      <c r="C416" s="3" t="s">
        <v>96</v>
      </c>
      <c r="D416" s="3">
        <v>2</v>
      </c>
      <c r="E416" s="3">
        <v>2022</v>
      </c>
      <c r="F416" s="3">
        <v>1</v>
      </c>
      <c r="G416" s="3" t="s">
        <v>42</v>
      </c>
      <c r="H416" s="3" t="s">
        <v>46</v>
      </c>
      <c r="I416" s="5">
        <v>883586</v>
      </c>
      <c r="J416" s="3">
        <v>1815.0000000000002</v>
      </c>
      <c r="K416" s="3">
        <v>881771</v>
      </c>
      <c r="L416" s="3">
        <v>562711.60000000009</v>
      </c>
      <c r="M416" s="3">
        <v>319059.40000000002</v>
      </c>
      <c r="N416" s="3">
        <v>591662.58371384023</v>
      </c>
      <c r="O416" s="3">
        <f t="shared" si="7"/>
        <v>67.099347076944042</v>
      </c>
      <c r="P416" s="3">
        <v>166171.88750877196</v>
      </c>
      <c r="Q416" s="3">
        <v>73590.088000000003</v>
      </c>
      <c r="R416" s="3">
        <v>195149.04620506827</v>
      </c>
      <c r="S416" s="3">
        <v>56169.432000000008</v>
      </c>
      <c r="T416" s="3">
        <v>0</v>
      </c>
      <c r="U416" s="3">
        <v>31905.940000000006</v>
      </c>
      <c r="V416" s="3">
        <v>68676.19</v>
      </c>
      <c r="W416" s="3">
        <v>0</v>
      </c>
      <c r="X416" s="3">
        <v>-272603.18371384026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-272603.18371384026</v>
      </c>
      <c r="AF416" s="3">
        <v>0</v>
      </c>
      <c r="AG416" s="3">
        <v>-272603.18371384026</v>
      </c>
      <c r="AH416" s="3">
        <v>-272603.18371384026</v>
      </c>
      <c r="AI416" s="3">
        <v>440000</v>
      </c>
      <c r="AJ416" s="3">
        <v>66000.000000000015</v>
      </c>
    </row>
    <row r="417" spans="1:36" x14ac:dyDescent="0.2">
      <c r="A417" s="3" t="s">
        <v>75</v>
      </c>
      <c r="B417" s="3" t="s">
        <v>83</v>
      </c>
      <c r="C417" s="3" t="s">
        <v>96</v>
      </c>
      <c r="D417" s="3">
        <v>3</v>
      </c>
      <c r="E417" s="3">
        <v>2022</v>
      </c>
      <c r="F417" s="3">
        <v>1</v>
      </c>
      <c r="G417" s="3" t="s">
        <v>48</v>
      </c>
      <c r="H417" s="3" t="s">
        <v>46</v>
      </c>
      <c r="I417" s="5">
        <v>3150126</v>
      </c>
      <c r="J417" s="3">
        <v>98117.6</v>
      </c>
      <c r="K417" s="3">
        <v>3052008.4000000004</v>
      </c>
      <c r="L417" s="3">
        <v>1832485.1780003998</v>
      </c>
      <c r="M417" s="3">
        <v>1219523.2219995998</v>
      </c>
      <c r="N417" s="3">
        <v>2401925.3574612881</v>
      </c>
      <c r="O417" s="3">
        <f t="shared" si="7"/>
        <v>78.699827872730879</v>
      </c>
      <c r="P417" s="3">
        <v>702211.98599999992</v>
      </c>
      <c r="Q417" s="3">
        <v>344288.08400000003</v>
      </c>
      <c r="R417" s="3">
        <v>862974.43346128869</v>
      </c>
      <c r="S417" s="3">
        <v>97781.698000000004</v>
      </c>
      <c r="T417" s="3">
        <v>51781.03</v>
      </c>
      <c r="U417" s="3">
        <v>144900.12599999999</v>
      </c>
      <c r="V417" s="3">
        <v>197988</v>
      </c>
      <c r="W417" s="3">
        <v>0</v>
      </c>
      <c r="X417" s="3">
        <v>-1182402.1354616885</v>
      </c>
      <c r="Y417" s="3">
        <v>142.88508871625137</v>
      </c>
      <c r="Z417" s="3">
        <v>321257.18799999997</v>
      </c>
      <c r="AA417" s="3">
        <v>-321114.30291128374</v>
      </c>
      <c r="AB417" s="3">
        <v>0</v>
      </c>
      <c r="AC417" s="3">
        <v>0</v>
      </c>
      <c r="AD417" s="3">
        <v>0</v>
      </c>
      <c r="AE417" s="3">
        <v>-1503516.438372972</v>
      </c>
      <c r="AF417" s="3">
        <v>0</v>
      </c>
      <c r="AG417" s="3">
        <v>-1503516.438372972</v>
      </c>
      <c r="AH417" s="3">
        <v>-1503516.438372972</v>
      </c>
      <c r="AI417" s="3">
        <v>6300000</v>
      </c>
      <c r="AJ417" s="3">
        <v>-348437.8381784645</v>
      </c>
    </row>
    <row r="418" spans="1:36" x14ac:dyDescent="0.2">
      <c r="A418" s="3" t="s">
        <v>75</v>
      </c>
      <c r="B418" s="3" t="s">
        <v>83</v>
      </c>
      <c r="C418" s="3" t="s">
        <v>96</v>
      </c>
      <c r="D418" s="3">
        <v>2</v>
      </c>
      <c r="E418" s="3">
        <v>2022</v>
      </c>
      <c r="F418" s="3">
        <v>1</v>
      </c>
      <c r="G418" s="3" t="s">
        <v>48</v>
      </c>
      <c r="H418" s="3" t="s">
        <v>46</v>
      </c>
      <c r="I418" s="5">
        <v>4895384</v>
      </c>
      <c r="J418" s="3">
        <v>38753</v>
      </c>
      <c r="K418" s="3">
        <v>4856631</v>
      </c>
      <c r="L418" s="3">
        <v>3026431.7849999997</v>
      </c>
      <c r="M418" s="3">
        <v>1830199.2149999999</v>
      </c>
      <c r="N418" s="3">
        <v>2287975.3587253885</v>
      </c>
      <c r="O418" s="3">
        <f t="shared" si="7"/>
        <v>47.110339631019706</v>
      </c>
      <c r="P418" s="3">
        <v>652029.9484035077</v>
      </c>
      <c r="Q418" s="3">
        <v>190159.03400000004</v>
      </c>
      <c r="R418" s="3">
        <v>851138.02332188073</v>
      </c>
      <c r="S418" s="3">
        <v>71770.997999999992</v>
      </c>
      <c r="T418" s="3">
        <v>39245.388000000006</v>
      </c>
      <c r="U418" s="3">
        <v>190165.37800000003</v>
      </c>
      <c r="V418" s="3">
        <v>293466.58900000004</v>
      </c>
      <c r="W418" s="3">
        <v>0</v>
      </c>
      <c r="X418" s="3">
        <v>-457776.14372538822</v>
      </c>
      <c r="Y418" s="3">
        <v>130.13343933705897</v>
      </c>
      <c r="Z418" s="3">
        <v>324319.09900000005</v>
      </c>
      <c r="AA418" s="3">
        <v>-324188.96556066297</v>
      </c>
      <c r="AB418" s="3">
        <v>0</v>
      </c>
      <c r="AC418" s="3">
        <v>0</v>
      </c>
      <c r="AD418" s="3">
        <v>0</v>
      </c>
      <c r="AE418" s="3">
        <v>-781965.10928605124</v>
      </c>
      <c r="AF418" s="3">
        <v>0</v>
      </c>
      <c r="AG418" s="3">
        <v>-781965.10928605124</v>
      </c>
      <c r="AH418" s="3">
        <v>-781965.10928605124</v>
      </c>
      <c r="AI418" s="3">
        <v>4550000</v>
      </c>
      <c r="AJ418" s="3">
        <v>-713549.42116571707</v>
      </c>
    </row>
    <row r="419" spans="1:36" x14ac:dyDescent="0.2">
      <c r="A419" s="3" t="s">
        <v>75</v>
      </c>
      <c r="B419" s="3" t="s">
        <v>83</v>
      </c>
      <c r="C419" s="3" t="s">
        <v>96</v>
      </c>
      <c r="D419" s="3">
        <v>1</v>
      </c>
      <c r="E419" s="3">
        <v>2022</v>
      </c>
      <c r="F419" s="3">
        <v>1</v>
      </c>
      <c r="G419" s="3" t="s">
        <v>48</v>
      </c>
      <c r="H419" s="3" t="s">
        <v>46</v>
      </c>
      <c r="I419" s="5">
        <v>6027758</v>
      </c>
      <c r="J419" s="3">
        <v>224944</v>
      </c>
      <c r="K419" s="3">
        <v>5802814</v>
      </c>
      <c r="L419" s="3">
        <v>4023244.378</v>
      </c>
      <c r="M419" s="3">
        <v>1779569.6219999997</v>
      </c>
      <c r="N419" s="3">
        <v>2735439.1607149928</v>
      </c>
      <c r="O419" s="3">
        <f t="shared" si="7"/>
        <v>47.139873184199814</v>
      </c>
      <c r="P419" s="3">
        <v>468993.04200000002</v>
      </c>
      <c r="Q419" s="3">
        <v>228247.15099999998</v>
      </c>
      <c r="R419" s="3">
        <v>1148921.5387149928</v>
      </c>
      <c r="S419" s="3">
        <v>87645.914000000019</v>
      </c>
      <c r="T419" s="3">
        <v>81287.948000000004</v>
      </c>
      <c r="U419" s="3">
        <v>209789.97899999999</v>
      </c>
      <c r="V419" s="3">
        <v>510553.58799999993</v>
      </c>
      <c r="W419" s="3">
        <v>0</v>
      </c>
      <c r="X419" s="3">
        <v>-955869.53871499293</v>
      </c>
      <c r="Y419" s="3">
        <v>109.07646459296815</v>
      </c>
      <c r="Z419" s="3">
        <v>206091.98599999998</v>
      </c>
      <c r="AA419" s="3">
        <v>-205982.90953540703</v>
      </c>
      <c r="AB419" s="3">
        <v>0</v>
      </c>
      <c r="AC419" s="3">
        <v>0</v>
      </c>
      <c r="AD419" s="3">
        <v>0</v>
      </c>
      <c r="AE419" s="3">
        <v>-1161852.4482504001</v>
      </c>
      <c r="AF419" s="3">
        <v>0</v>
      </c>
      <c r="AG419" s="3">
        <v>-1161852.4482504001</v>
      </c>
      <c r="AH419" s="3">
        <v>-1161852.4482504001</v>
      </c>
      <c r="AI419" s="3">
        <v>5950000</v>
      </c>
      <c r="AJ419" s="3">
        <v>-933103.08899999992</v>
      </c>
    </row>
    <row r="420" spans="1:36" x14ac:dyDescent="0.2">
      <c r="A420" s="3" t="s">
        <v>75</v>
      </c>
      <c r="B420" s="3" t="s">
        <v>83</v>
      </c>
      <c r="C420" s="3" t="s">
        <v>96</v>
      </c>
      <c r="D420" s="3">
        <v>1</v>
      </c>
      <c r="E420" s="3">
        <v>2022</v>
      </c>
      <c r="F420" s="3">
        <v>1</v>
      </c>
      <c r="G420" s="3" t="s">
        <v>39</v>
      </c>
      <c r="H420" s="3" t="s">
        <v>46</v>
      </c>
      <c r="I420" s="5">
        <v>14901917.910000002</v>
      </c>
      <c r="J420" s="3">
        <v>0</v>
      </c>
      <c r="K420" s="3">
        <v>14901917.910000002</v>
      </c>
      <c r="L420" s="3">
        <v>14888543.274</v>
      </c>
      <c r="M420" s="3">
        <v>13374.636</v>
      </c>
      <c r="N420" s="3">
        <v>183637.97043710906</v>
      </c>
      <c r="O420" s="3">
        <f t="shared" si="7"/>
        <v>1.2323109786685775</v>
      </c>
      <c r="P420" s="3">
        <v>32943.394</v>
      </c>
      <c r="Q420" s="3">
        <v>-18714.652000000002</v>
      </c>
      <c r="R420" s="3">
        <v>112880.86643710904</v>
      </c>
      <c r="S420" s="3">
        <v>7361.7939999999999</v>
      </c>
      <c r="T420" s="3">
        <v>3497.5160000000005</v>
      </c>
      <c r="U420" s="3">
        <v>3736.9640000000004</v>
      </c>
      <c r="V420" s="3">
        <v>41932.088000000003</v>
      </c>
      <c r="W420" s="3">
        <v>0</v>
      </c>
      <c r="X420" s="3">
        <v>-170263.33443710904</v>
      </c>
      <c r="Y420" s="3">
        <v>0</v>
      </c>
      <c r="Z420" s="3">
        <v>0</v>
      </c>
      <c r="AA420" s="3">
        <v>0</v>
      </c>
      <c r="AB420" s="3">
        <v>35420.000000000007</v>
      </c>
      <c r="AC420" s="3">
        <v>20116.800000000003</v>
      </c>
      <c r="AD420" s="3">
        <v>15303.2</v>
      </c>
      <c r="AE420" s="3">
        <v>-154960.13443710905</v>
      </c>
      <c r="AF420" s="3">
        <v>0</v>
      </c>
      <c r="AG420" s="3">
        <v>-154960.13443710905</v>
      </c>
      <c r="AH420" s="3">
        <v>-154960.13443710905</v>
      </c>
      <c r="AI420" s="3">
        <v>44000000</v>
      </c>
      <c r="AJ420" s="3">
        <v>0</v>
      </c>
    </row>
    <row r="421" spans="1:36" x14ac:dyDescent="0.2">
      <c r="A421" s="3" t="s">
        <v>75</v>
      </c>
      <c r="B421" s="3" t="s">
        <v>83</v>
      </c>
      <c r="C421" s="3" t="s">
        <v>96</v>
      </c>
      <c r="D421" s="3">
        <v>3</v>
      </c>
      <c r="E421" s="3">
        <v>2022</v>
      </c>
      <c r="F421" s="3">
        <v>1</v>
      </c>
      <c r="G421" s="3" t="s">
        <v>39</v>
      </c>
      <c r="H421" s="3" t="s">
        <v>46</v>
      </c>
      <c r="I421" s="5">
        <v>15672789.18</v>
      </c>
      <c r="J421" s="3">
        <v>0</v>
      </c>
      <c r="K421" s="3">
        <v>15672789.18</v>
      </c>
      <c r="L421" s="3">
        <v>15658716.780000001</v>
      </c>
      <c r="M421" s="3">
        <v>14072.4</v>
      </c>
      <c r="N421" s="3">
        <v>206162.48638957395</v>
      </c>
      <c r="O421" s="3">
        <f t="shared" si="7"/>
        <v>1.3154167010212663</v>
      </c>
      <c r="P421" s="3">
        <v>54422.22</v>
      </c>
      <c r="Q421" s="3">
        <v>24998.739999999998</v>
      </c>
      <c r="R421" s="3">
        <v>92293.606389573979</v>
      </c>
      <c r="S421" s="3">
        <v>10932.539999999999</v>
      </c>
      <c r="T421" s="3">
        <v>1140.3799999999999</v>
      </c>
      <c r="U421" s="3">
        <v>1485.6399999999999</v>
      </c>
      <c r="V421" s="3">
        <v>20889.36</v>
      </c>
      <c r="W421" s="3">
        <v>0</v>
      </c>
      <c r="X421" s="3">
        <v>-192090.08638957396</v>
      </c>
      <c r="Y421" s="3">
        <v>0</v>
      </c>
      <c r="Z421" s="3">
        <v>0</v>
      </c>
      <c r="AA421" s="3">
        <v>0</v>
      </c>
      <c r="AB421" s="3">
        <v>30418.764165857974</v>
      </c>
      <c r="AC421" s="3">
        <v>1016</v>
      </c>
      <c r="AD421" s="3">
        <v>29402.764165857974</v>
      </c>
      <c r="AE421" s="3">
        <v>-162687.32222371598</v>
      </c>
      <c r="AF421" s="3">
        <v>0</v>
      </c>
      <c r="AG421" s="3">
        <v>-162687.32222371598</v>
      </c>
      <c r="AH421" s="3">
        <v>-162687.32222371598</v>
      </c>
      <c r="AI421" s="3">
        <v>40000000</v>
      </c>
      <c r="AJ421" s="3">
        <v>0</v>
      </c>
    </row>
    <row r="422" spans="1:36" x14ac:dyDescent="0.2">
      <c r="A422" s="3" t="s">
        <v>75</v>
      </c>
      <c r="B422" s="3" t="s">
        <v>83</v>
      </c>
      <c r="C422" s="3" t="s">
        <v>96</v>
      </c>
      <c r="D422" s="3">
        <v>2</v>
      </c>
      <c r="E422" s="3">
        <v>2022</v>
      </c>
      <c r="F422" s="3">
        <v>1</v>
      </c>
      <c r="G422" s="3" t="s">
        <v>39</v>
      </c>
      <c r="H422" s="3" t="s">
        <v>46</v>
      </c>
      <c r="I422" s="5">
        <v>44427931.416000009</v>
      </c>
      <c r="J422" s="3">
        <v>0</v>
      </c>
      <c r="K422" s="3">
        <v>44427931.416000009</v>
      </c>
      <c r="L422" s="3">
        <v>44390490.539999992</v>
      </c>
      <c r="M422" s="3">
        <v>37440.876000000004</v>
      </c>
      <c r="N422" s="3">
        <v>209196.0546745357</v>
      </c>
      <c r="O422" s="3">
        <f t="shared" si="7"/>
        <v>0.4708660700759007</v>
      </c>
      <c r="P422" s="3">
        <v>59828.547263157874</v>
      </c>
      <c r="Q422" s="3">
        <v>-17281.748</v>
      </c>
      <c r="R422" s="3">
        <v>115016.48741137784</v>
      </c>
      <c r="S422" s="3">
        <v>7361.7939999999999</v>
      </c>
      <c r="T422" s="3">
        <v>6553.1399999999994</v>
      </c>
      <c r="U422" s="3">
        <v>4681.732</v>
      </c>
      <c r="V422" s="3">
        <v>33036.101999999999</v>
      </c>
      <c r="W422" s="3">
        <v>0</v>
      </c>
      <c r="X422" s="3">
        <v>-171755.17867453568</v>
      </c>
      <c r="Y422" s="3">
        <v>0</v>
      </c>
      <c r="Z422" s="3">
        <v>0</v>
      </c>
      <c r="AA422" s="3">
        <v>0</v>
      </c>
      <c r="AB422" s="3">
        <v>53150.640582443775</v>
      </c>
      <c r="AC422" s="3">
        <v>12293.599999999999</v>
      </c>
      <c r="AD422" s="3">
        <v>40857.040582443777</v>
      </c>
      <c r="AE422" s="3">
        <v>-130898.13809209192</v>
      </c>
      <c r="AF422" s="3">
        <v>0</v>
      </c>
      <c r="AG422" s="3">
        <v>-130898.13809209192</v>
      </c>
      <c r="AH422" s="3">
        <v>-130898.13809209192</v>
      </c>
      <c r="AI422" s="3">
        <v>66000000.000000007</v>
      </c>
      <c r="AJ422" s="3">
        <v>0</v>
      </c>
    </row>
    <row r="423" spans="1:36" x14ac:dyDescent="0.2">
      <c r="A423" s="3" t="s">
        <v>75</v>
      </c>
      <c r="B423" s="3" t="s">
        <v>83</v>
      </c>
      <c r="C423" s="3" t="s">
        <v>97</v>
      </c>
      <c r="D423" s="3">
        <v>1</v>
      </c>
      <c r="E423" s="3">
        <v>2022</v>
      </c>
      <c r="F423" s="3">
        <v>1</v>
      </c>
      <c r="G423" s="3" t="s">
        <v>42</v>
      </c>
      <c r="H423" s="3" t="s">
        <v>40</v>
      </c>
      <c r="I423" s="5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 t="e">
        <f t="shared" si="7"/>
        <v>#DIV/0!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</row>
    <row r="424" spans="1:36" x14ac:dyDescent="0.2">
      <c r="A424" s="3" t="s">
        <v>75</v>
      </c>
      <c r="B424" s="3" t="s">
        <v>83</v>
      </c>
      <c r="C424" s="3" t="s">
        <v>97</v>
      </c>
      <c r="D424" s="3">
        <v>1</v>
      </c>
      <c r="E424" s="3">
        <v>2022</v>
      </c>
      <c r="F424" s="3">
        <v>1</v>
      </c>
      <c r="G424" s="3" t="s">
        <v>39</v>
      </c>
      <c r="H424" s="3" t="s">
        <v>40</v>
      </c>
      <c r="I424" s="5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 t="e">
        <f t="shared" si="7"/>
        <v>#DIV/0!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</row>
    <row r="425" spans="1:36" x14ac:dyDescent="0.2">
      <c r="A425" s="3" t="s">
        <v>75</v>
      </c>
      <c r="B425" s="3" t="s">
        <v>83</v>
      </c>
      <c r="C425" s="3" t="s">
        <v>97</v>
      </c>
      <c r="D425" s="3">
        <v>2</v>
      </c>
      <c r="E425" s="3">
        <v>2022</v>
      </c>
      <c r="F425" s="3">
        <v>1</v>
      </c>
      <c r="G425" s="3" t="s">
        <v>42</v>
      </c>
      <c r="H425" s="3" t="s">
        <v>40</v>
      </c>
      <c r="I425" s="5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 t="e">
        <f t="shared" si="7"/>
        <v>#DIV/0!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</row>
    <row r="426" spans="1:36" x14ac:dyDescent="0.2">
      <c r="A426" s="3" t="s">
        <v>75</v>
      </c>
      <c r="B426" s="3" t="s">
        <v>83</v>
      </c>
      <c r="C426" s="3" t="s">
        <v>97</v>
      </c>
      <c r="D426" s="3">
        <v>2</v>
      </c>
      <c r="E426" s="3">
        <v>2022</v>
      </c>
      <c r="F426" s="3">
        <v>1</v>
      </c>
      <c r="G426" s="3" t="s">
        <v>39</v>
      </c>
      <c r="H426" s="3" t="s">
        <v>40</v>
      </c>
      <c r="I426" s="5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 t="e">
        <f t="shared" si="7"/>
        <v>#DIV/0!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</row>
    <row r="427" spans="1:36" x14ac:dyDescent="0.2">
      <c r="A427" s="3" t="s">
        <v>75</v>
      </c>
      <c r="B427" s="3" t="s">
        <v>83</v>
      </c>
      <c r="C427" s="3" t="s">
        <v>97</v>
      </c>
      <c r="D427" s="3">
        <v>3</v>
      </c>
      <c r="E427" s="3">
        <v>2022</v>
      </c>
      <c r="F427" s="3">
        <v>1</v>
      </c>
      <c r="G427" s="3" t="s">
        <v>42</v>
      </c>
      <c r="H427" s="3" t="s">
        <v>40</v>
      </c>
      <c r="I427" s="5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 t="e">
        <f t="shared" si="7"/>
        <v>#DIV/0!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</row>
    <row r="428" spans="1:36" x14ac:dyDescent="0.2">
      <c r="A428" s="3" t="s">
        <v>75</v>
      </c>
      <c r="B428" s="3" t="s">
        <v>83</v>
      </c>
      <c r="C428" s="3" t="s">
        <v>97</v>
      </c>
      <c r="D428" s="3">
        <v>3</v>
      </c>
      <c r="E428" s="3">
        <v>2022</v>
      </c>
      <c r="F428" s="3">
        <v>1</v>
      </c>
      <c r="G428" s="3" t="s">
        <v>39</v>
      </c>
      <c r="H428" s="3" t="s">
        <v>40</v>
      </c>
      <c r="I428" s="5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 t="e">
        <f t="shared" si="7"/>
        <v>#DIV/0!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</row>
    <row r="429" spans="1:36" x14ac:dyDescent="0.2">
      <c r="A429" s="3" t="s">
        <v>75</v>
      </c>
      <c r="B429" s="3" t="s">
        <v>83</v>
      </c>
      <c r="C429" s="3" t="s">
        <v>97</v>
      </c>
      <c r="D429" s="3">
        <v>1</v>
      </c>
      <c r="E429" s="3">
        <v>2022</v>
      </c>
      <c r="F429" s="3">
        <v>1</v>
      </c>
      <c r="G429" s="3" t="s">
        <v>42</v>
      </c>
      <c r="H429" s="3" t="s">
        <v>46</v>
      </c>
      <c r="I429" s="5">
        <v>229068</v>
      </c>
      <c r="J429" s="3">
        <v>30844.799999999999</v>
      </c>
      <c r="K429" s="3">
        <v>198223.2</v>
      </c>
      <c r="L429" s="3">
        <v>137440.79999999999</v>
      </c>
      <c r="M429" s="3">
        <v>60782.399999999994</v>
      </c>
      <c r="N429" s="3">
        <v>544536.1305294591</v>
      </c>
      <c r="O429" s="3">
        <f t="shared" si="7"/>
        <v>274.70857625618953</v>
      </c>
      <c r="P429" s="3">
        <v>103489.197</v>
      </c>
      <c r="Q429" s="3">
        <v>0</v>
      </c>
      <c r="R429" s="3">
        <v>268467.86252945906</v>
      </c>
      <c r="S429" s="3">
        <v>25947.494999999999</v>
      </c>
      <c r="T429" s="3">
        <v>0</v>
      </c>
      <c r="U429" s="3">
        <v>9629.0249999999996</v>
      </c>
      <c r="V429" s="3">
        <v>137002.55100000004</v>
      </c>
      <c r="W429" s="3">
        <v>0</v>
      </c>
      <c r="X429" s="3">
        <v>-483753.73052945908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-483753.73052945908</v>
      </c>
      <c r="AF429" s="3">
        <v>0</v>
      </c>
      <c r="AG429" s="3">
        <v>-483753.73052945908</v>
      </c>
      <c r="AH429" s="3">
        <v>-483753.73052945908</v>
      </c>
      <c r="AI429" s="3">
        <v>420000</v>
      </c>
      <c r="AJ429" s="3">
        <v>63000</v>
      </c>
    </row>
    <row r="430" spans="1:36" x14ac:dyDescent="0.2">
      <c r="A430" s="3" t="s">
        <v>75</v>
      </c>
      <c r="B430" s="3" t="s">
        <v>83</v>
      </c>
      <c r="C430" s="3" t="s">
        <v>97</v>
      </c>
      <c r="D430" s="3">
        <v>3</v>
      </c>
      <c r="E430" s="3">
        <v>2022</v>
      </c>
      <c r="F430" s="3">
        <v>1</v>
      </c>
      <c r="G430" s="3" t="s">
        <v>42</v>
      </c>
      <c r="H430" s="3" t="s">
        <v>46</v>
      </c>
      <c r="I430" s="5">
        <v>231552</v>
      </c>
      <c r="J430" s="3">
        <v>15060.599999999999</v>
      </c>
      <c r="K430" s="3">
        <v>216491.4</v>
      </c>
      <c r="L430" s="3">
        <v>147031.20000000001</v>
      </c>
      <c r="M430" s="3">
        <v>69460.200000000012</v>
      </c>
      <c r="N430" s="3">
        <v>677778.49225338083</v>
      </c>
      <c r="O430" s="3">
        <f t="shared" si="7"/>
        <v>313.07409543907096</v>
      </c>
      <c r="P430" s="3">
        <v>133057.56599999999</v>
      </c>
      <c r="Q430" s="3">
        <v>0</v>
      </c>
      <c r="R430" s="3">
        <v>345870.54325338081</v>
      </c>
      <c r="S430" s="3">
        <v>31442.714999999997</v>
      </c>
      <c r="T430" s="3">
        <v>0</v>
      </c>
      <c r="U430" s="3">
        <v>6946.0199999999995</v>
      </c>
      <c r="V430" s="3">
        <v>160461.64800000002</v>
      </c>
      <c r="W430" s="3">
        <v>0</v>
      </c>
      <c r="X430" s="3">
        <v>-608318.29225338087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-608318.29225338087</v>
      </c>
      <c r="AF430" s="3">
        <v>0</v>
      </c>
      <c r="AG430" s="3">
        <v>-608318.29225338087</v>
      </c>
      <c r="AH430" s="3">
        <v>-608318.29225338087</v>
      </c>
      <c r="AI430" s="3">
        <v>540000</v>
      </c>
      <c r="AJ430" s="3">
        <v>81000.000000000015</v>
      </c>
    </row>
    <row r="431" spans="1:36" x14ac:dyDescent="0.2">
      <c r="A431" s="3" t="s">
        <v>75</v>
      </c>
      <c r="B431" s="3" t="s">
        <v>83</v>
      </c>
      <c r="C431" s="3" t="s">
        <v>97</v>
      </c>
      <c r="D431" s="3">
        <v>2</v>
      </c>
      <c r="E431" s="3">
        <v>2022</v>
      </c>
      <c r="F431" s="3">
        <v>1</v>
      </c>
      <c r="G431" s="3" t="s">
        <v>42</v>
      </c>
      <c r="H431" s="3" t="s">
        <v>46</v>
      </c>
      <c r="I431" s="5">
        <v>501690</v>
      </c>
      <c r="J431" s="3">
        <v>0</v>
      </c>
      <c r="K431" s="3">
        <v>501690</v>
      </c>
      <c r="L431" s="3">
        <v>316614</v>
      </c>
      <c r="M431" s="3">
        <v>185076</v>
      </c>
      <c r="N431" s="3">
        <v>398951.75913567794</v>
      </c>
      <c r="O431" s="3">
        <f t="shared" si="7"/>
        <v>79.521568924171888</v>
      </c>
      <c r="P431" s="3">
        <v>73920.87000000001</v>
      </c>
      <c r="Q431" s="3">
        <v>3561.15</v>
      </c>
      <c r="R431" s="3">
        <v>185209.88913567795</v>
      </c>
      <c r="S431" s="3">
        <v>36539.025000000001</v>
      </c>
      <c r="T431" s="3">
        <v>0</v>
      </c>
      <c r="U431" s="3">
        <v>18507.599999999999</v>
      </c>
      <c r="V431" s="3">
        <v>81213.225000000006</v>
      </c>
      <c r="W431" s="3">
        <v>0</v>
      </c>
      <c r="X431" s="3">
        <v>-213875.75913567792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-213875.75913567792</v>
      </c>
      <c r="AF431" s="3">
        <v>0</v>
      </c>
      <c r="AG431" s="3">
        <v>-213875.75913567792</v>
      </c>
      <c r="AH431" s="3">
        <v>-213875.75913567792</v>
      </c>
      <c r="AI431" s="3">
        <v>300000</v>
      </c>
      <c r="AJ431" s="3">
        <v>45000</v>
      </c>
    </row>
    <row r="432" spans="1:36" x14ac:dyDescent="0.2">
      <c r="A432" s="3" t="s">
        <v>75</v>
      </c>
      <c r="B432" s="3" t="s">
        <v>83</v>
      </c>
      <c r="C432" s="3" t="s">
        <v>97</v>
      </c>
      <c r="D432" s="3">
        <v>1</v>
      </c>
      <c r="E432" s="3">
        <v>2022</v>
      </c>
      <c r="F432" s="3">
        <v>1</v>
      </c>
      <c r="G432" s="3" t="s">
        <v>39</v>
      </c>
      <c r="H432" s="3" t="s">
        <v>46</v>
      </c>
      <c r="I432" s="5">
        <v>4941997.0020000003</v>
      </c>
      <c r="J432" s="3">
        <v>0</v>
      </c>
      <c r="K432" s="3">
        <v>4941997.0020000003</v>
      </c>
      <c r="L432" s="3">
        <v>4937588.7930000005</v>
      </c>
      <c r="M432" s="3">
        <v>4408.2090000000007</v>
      </c>
      <c r="N432" s="3">
        <v>255844.08262966864</v>
      </c>
      <c r="O432" s="3">
        <f t="shared" si="7"/>
        <v>5.1769372285359516</v>
      </c>
      <c r="P432" s="3">
        <v>29937.951000000001</v>
      </c>
      <c r="Q432" s="3">
        <v>0</v>
      </c>
      <c r="R432" s="3">
        <v>135341.2196296686</v>
      </c>
      <c r="S432" s="3">
        <v>9266.5889999999999</v>
      </c>
      <c r="T432" s="3">
        <v>40085.550000000003</v>
      </c>
      <c r="U432" s="3">
        <v>1579.77</v>
      </c>
      <c r="V432" s="3">
        <v>39633.003000000004</v>
      </c>
      <c r="W432" s="3">
        <v>0</v>
      </c>
      <c r="X432" s="3">
        <v>-251435.87362966864</v>
      </c>
      <c r="Y432" s="3">
        <v>0</v>
      </c>
      <c r="Z432" s="3">
        <v>0</v>
      </c>
      <c r="AA432" s="3">
        <v>0</v>
      </c>
      <c r="AB432" s="3">
        <v>6075</v>
      </c>
      <c r="AC432" s="3">
        <v>3429</v>
      </c>
      <c r="AD432" s="3">
        <v>2646</v>
      </c>
      <c r="AE432" s="3">
        <v>-248789.87362966867</v>
      </c>
      <c r="AF432" s="3">
        <v>0</v>
      </c>
      <c r="AG432" s="3">
        <v>-248789.87362966867</v>
      </c>
      <c r="AH432" s="3">
        <v>-248789.87362966867</v>
      </c>
      <c r="AI432" s="3">
        <v>54000000</v>
      </c>
      <c r="AJ432" s="3">
        <v>0</v>
      </c>
    </row>
    <row r="433" spans="1:36" x14ac:dyDescent="0.2">
      <c r="A433" s="3" t="s">
        <v>75</v>
      </c>
      <c r="B433" s="3" t="s">
        <v>83</v>
      </c>
      <c r="C433" s="3" t="s">
        <v>97</v>
      </c>
      <c r="D433" s="3">
        <v>1</v>
      </c>
      <c r="E433" s="3">
        <v>2022</v>
      </c>
      <c r="F433" s="3">
        <v>1</v>
      </c>
      <c r="G433" s="3" t="s">
        <v>48</v>
      </c>
      <c r="H433" s="3" t="s">
        <v>46</v>
      </c>
      <c r="I433" s="5">
        <v>5313375</v>
      </c>
      <c r="J433" s="3">
        <v>212985</v>
      </c>
      <c r="K433" s="3">
        <v>5100390</v>
      </c>
      <c r="L433" s="3">
        <v>3303494.79</v>
      </c>
      <c r="M433" s="3">
        <v>1796895.21</v>
      </c>
      <c r="N433" s="3">
        <v>2244466.7796628037</v>
      </c>
      <c r="O433" s="3">
        <f t="shared" si="7"/>
        <v>44.005787393960141</v>
      </c>
      <c r="P433" s="3">
        <v>349276.08</v>
      </c>
      <c r="Q433" s="3">
        <v>8088.84</v>
      </c>
      <c r="R433" s="3">
        <v>1016457.6246628037</v>
      </c>
      <c r="S433" s="3">
        <v>74325.945000000007</v>
      </c>
      <c r="T433" s="3">
        <v>127730.25</v>
      </c>
      <c r="U433" s="3">
        <v>206193.82500000001</v>
      </c>
      <c r="V433" s="3">
        <v>462394.21499999997</v>
      </c>
      <c r="W433" s="3">
        <v>0</v>
      </c>
      <c r="X433" s="3">
        <v>-447571.56966280373</v>
      </c>
      <c r="Y433" s="3">
        <v>143.8137341200424</v>
      </c>
      <c r="Z433" s="3">
        <v>176554.155</v>
      </c>
      <c r="AA433" s="3">
        <v>-176410.34126587995</v>
      </c>
      <c r="AB433" s="3">
        <v>0</v>
      </c>
      <c r="AC433" s="3">
        <v>0</v>
      </c>
      <c r="AD433" s="3">
        <v>0</v>
      </c>
      <c r="AE433" s="3">
        <v>-623981.9109286837</v>
      </c>
      <c r="AF433" s="3">
        <v>0</v>
      </c>
      <c r="AG433" s="3">
        <v>-623981.9109286837</v>
      </c>
      <c r="AH433" s="3">
        <v>-623981.9109286837</v>
      </c>
      <c r="AI433" s="3">
        <v>8250000</v>
      </c>
      <c r="AJ433" s="3">
        <v>266527.46999999997</v>
      </c>
    </row>
    <row r="434" spans="1:36" x14ac:dyDescent="0.2">
      <c r="A434" s="3" t="s">
        <v>75</v>
      </c>
      <c r="B434" s="3" t="s">
        <v>83</v>
      </c>
      <c r="C434" s="3" t="s">
        <v>97</v>
      </c>
      <c r="D434" s="3">
        <v>2</v>
      </c>
      <c r="E434" s="3">
        <v>2022</v>
      </c>
      <c r="F434" s="3">
        <v>1</v>
      </c>
      <c r="G434" s="3" t="s">
        <v>39</v>
      </c>
      <c r="H434" s="3" t="s">
        <v>46</v>
      </c>
      <c r="I434" s="5">
        <v>8965190.370000001</v>
      </c>
      <c r="J434" s="3">
        <v>0</v>
      </c>
      <c r="K434" s="3">
        <v>8965190.370000001</v>
      </c>
      <c r="L434" s="3">
        <v>8958300.8249999993</v>
      </c>
      <c r="M434" s="3">
        <v>6889.5450000000001</v>
      </c>
      <c r="N434" s="3">
        <v>147711.33977773451</v>
      </c>
      <c r="O434" s="3">
        <f t="shared" si="7"/>
        <v>1.647609628815216</v>
      </c>
      <c r="P434" s="3">
        <v>16632.195</v>
      </c>
      <c r="Q434" s="3">
        <v>801.255</v>
      </c>
      <c r="R434" s="3">
        <v>77480.724777734489</v>
      </c>
      <c r="S434" s="3">
        <v>5148.1050000000005</v>
      </c>
      <c r="T434" s="3">
        <v>28569.434999999998</v>
      </c>
      <c r="U434" s="3">
        <v>806.55</v>
      </c>
      <c r="V434" s="3">
        <v>18273.074999999997</v>
      </c>
      <c r="W434" s="3">
        <v>0</v>
      </c>
      <c r="X434" s="3">
        <v>-140821.7947777345</v>
      </c>
      <c r="Y434" s="3">
        <v>0</v>
      </c>
      <c r="Z434" s="3">
        <v>0</v>
      </c>
      <c r="AA434" s="3">
        <v>0</v>
      </c>
      <c r="AB434" s="3">
        <v>7768.0753545579064</v>
      </c>
      <c r="AC434" s="3">
        <v>1524</v>
      </c>
      <c r="AD434" s="3">
        <v>6244.0753545579073</v>
      </c>
      <c r="AE434" s="3">
        <v>-134577.71942317658</v>
      </c>
      <c r="AF434" s="3">
        <v>0</v>
      </c>
      <c r="AG434" s="3">
        <v>-134577.71942317658</v>
      </c>
      <c r="AH434" s="3">
        <v>-134577.71942317658</v>
      </c>
      <c r="AI434" s="3">
        <v>45000000</v>
      </c>
      <c r="AJ434" s="3">
        <v>0</v>
      </c>
    </row>
    <row r="435" spans="1:36" x14ac:dyDescent="0.2">
      <c r="A435" s="3" t="s">
        <v>75</v>
      </c>
      <c r="B435" s="3" t="s">
        <v>83</v>
      </c>
      <c r="C435" s="3" t="s">
        <v>97</v>
      </c>
      <c r="D435" s="3">
        <v>3</v>
      </c>
      <c r="E435" s="3">
        <v>2022</v>
      </c>
      <c r="F435" s="3">
        <v>1</v>
      </c>
      <c r="G435" s="3" t="s">
        <v>39</v>
      </c>
      <c r="H435" s="3" t="s">
        <v>46</v>
      </c>
      <c r="I435" s="5">
        <v>10164732.76</v>
      </c>
      <c r="J435" s="3">
        <v>0</v>
      </c>
      <c r="K435" s="3">
        <v>10164732.76</v>
      </c>
      <c r="L435" s="3">
        <v>10158830.26</v>
      </c>
      <c r="M435" s="3">
        <v>5902.5</v>
      </c>
      <c r="N435" s="3">
        <v>164106.5093199363</v>
      </c>
      <c r="O435" s="3">
        <f t="shared" si="7"/>
        <v>1.6144694916695117</v>
      </c>
      <c r="P435" s="3">
        <v>22176.260000000002</v>
      </c>
      <c r="Q435" s="3">
        <v>0</v>
      </c>
      <c r="R435" s="3">
        <v>96726.649319936289</v>
      </c>
      <c r="S435" s="3">
        <v>10984.14</v>
      </c>
      <c r="T435" s="3">
        <v>6885.48</v>
      </c>
      <c r="U435" s="3">
        <v>590.26</v>
      </c>
      <c r="V435" s="3">
        <v>26743.719999999998</v>
      </c>
      <c r="W435" s="3">
        <v>0</v>
      </c>
      <c r="X435" s="3">
        <v>-158204.0093199363</v>
      </c>
      <c r="Y435" s="3">
        <v>0</v>
      </c>
      <c r="Z435" s="3">
        <v>0</v>
      </c>
      <c r="AA435" s="3">
        <v>0</v>
      </c>
      <c r="AB435" s="3">
        <v>6757.4338060772097</v>
      </c>
      <c r="AC435" s="3">
        <v>0</v>
      </c>
      <c r="AD435" s="3">
        <v>6757.4338060772097</v>
      </c>
      <c r="AE435" s="3">
        <v>-151446.5755138591</v>
      </c>
      <c r="AF435" s="3">
        <v>0</v>
      </c>
      <c r="AG435" s="3">
        <v>-151446.5755138591</v>
      </c>
      <c r="AH435" s="3">
        <v>-151446.5755138591</v>
      </c>
      <c r="AI435" s="3">
        <v>40000000</v>
      </c>
      <c r="AJ435" s="3">
        <v>0</v>
      </c>
    </row>
    <row r="436" spans="1:36" x14ac:dyDescent="0.2">
      <c r="A436" s="3" t="s">
        <v>75</v>
      </c>
      <c r="B436" s="3" t="s">
        <v>83</v>
      </c>
      <c r="C436" s="3" t="s">
        <v>97</v>
      </c>
      <c r="D436" s="3">
        <v>2</v>
      </c>
      <c r="E436" s="3">
        <v>2022</v>
      </c>
      <c r="F436" s="3">
        <v>1</v>
      </c>
      <c r="G436" s="3" t="s">
        <v>48</v>
      </c>
      <c r="H436" s="3" t="s">
        <v>46</v>
      </c>
      <c r="I436" s="5">
        <v>11942106</v>
      </c>
      <c r="J436" s="3">
        <v>306460.00000000006</v>
      </c>
      <c r="K436" s="3">
        <v>11635646</v>
      </c>
      <c r="L436" s="3">
        <v>7599980.7620000001</v>
      </c>
      <c r="M436" s="3">
        <v>4035665.2380000004</v>
      </c>
      <c r="N436" s="3">
        <v>3238653.5474773315</v>
      </c>
      <c r="O436" s="3">
        <f t="shared" si="7"/>
        <v>27.833895492156874</v>
      </c>
      <c r="P436" s="3">
        <v>512271.56200000003</v>
      </c>
      <c r="Q436" s="3">
        <v>36542.396000000001</v>
      </c>
      <c r="R436" s="3">
        <v>1442298.2614773307</v>
      </c>
      <c r="S436" s="3">
        <v>131816.91600000003</v>
      </c>
      <c r="T436" s="3">
        <v>184993.446</v>
      </c>
      <c r="U436" s="3">
        <v>367907.47400000005</v>
      </c>
      <c r="V436" s="3">
        <v>562823.49200000009</v>
      </c>
      <c r="W436" s="3">
        <v>0</v>
      </c>
      <c r="X436" s="3">
        <v>797011.69052266877</v>
      </c>
      <c r="Y436" s="3">
        <v>221.29301219349338</v>
      </c>
      <c r="Z436" s="3">
        <v>263125.522</v>
      </c>
      <c r="AA436" s="3">
        <v>-262904.22898780659</v>
      </c>
      <c r="AB436" s="3">
        <v>990.00000000000011</v>
      </c>
      <c r="AC436" s="3">
        <v>990.00000000000011</v>
      </c>
      <c r="AD436" s="3">
        <v>0</v>
      </c>
      <c r="AE436" s="3">
        <v>534107.46153486217</v>
      </c>
      <c r="AF436" s="3">
        <v>0</v>
      </c>
      <c r="AG436" s="3">
        <v>534107.46153486217</v>
      </c>
      <c r="AH436" s="3">
        <v>534107.46153486217</v>
      </c>
      <c r="AI436" s="3">
        <v>12100000</v>
      </c>
      <c r="AJ436" s="3">
        <v>390906.95264611847</v>
      </c>
    </row>
    <row r="437" spans="1:36" x14ac:dyDescent="0.2">
      <c r="A437" s="3" t="s">
        <v>75</v>
      </c>
      <c r="B437" s="3" t="s">
        <v>83</v>
      </c>
      <c r="C437" s="3" t="s">
        <v>97</v>
      </c>
      <c r="D437" s="3">
        <v>3</v>
      </c>
      <c r="E437" s="3">
        <v>2022</v>
      </c>
      <c r="F437" s="3">
        <v>1</v>
      </c>
      <c r="G437" s="3" t="s">
        <v>48</v>
      </c>
      <c r="H437" s="3" t="s">
        <v>46</v>
      </c>
      <c r="I437" s="5">
        <v>24934032</v>
      </c>
      <c r="J437" s="3">
        <v>1062062.4000000001</v>
      </c>
      <c r="K437" s="3">
        <v>23871969.600000001</v>
      </c>
      <c r="L437" s="3">
        <v>15698475.302152799</v>
      </c>
      <c r="M437" s="3">
        <v>8173494.2978472002</v>
      </c>
      <c r="N437" s="3">
        <v>4264942.2800006997</v>
      </c>
      <c r="O437" s="3">
        <f t="shared" si="7"/>
        <v>17.865900264889326</v>
      </c>
      <c r="P437" s="3">
        <v>558841.70399999991</v>
      </c>
      <c r="Q437" s="3">
        <v>12942.143999999998</v>
      </c>
      <c r="R437" s="3">
        <v>1656643.8080006996</v>
      </c>
      <c r="S437" s="3">
        <v>274540.56</v>
      </c>
      <c r="T437" s="3">
        <v>231737.448</v>
      </c>
      <c r="U437" s="3">
        <v>856280.39999999991</v>
      </c>
      <c r="V437" s="3">
        <v>673956.21600000001</v>
      </c>
      <c r="W437" s="3">
        <v>0</v>
      </c>
      <c r="X437" s="3">
        <v>3908552.0178465005</v>
      </c>
      <c r="Y437" s="3">
        <v>582.53688349206777</v>
      </c>
      <c r="Z437" s="3">
        <v>294148.728</v>
      </c>
      <c r="AA437" s="3">
        <v>-293566.19111650792</v>
      </c>
      <c r="AB437" s="3">
        <v>2880</v>
      </c>
      <c r="AC437" s="3">
        <v>2880</v>
      </c>
      <c r="AD437" s="3">
        <v>0</v>
      </c>
      <c r="AE437" s="3">
        <v>3614985.8267299924</v>
      </c>
      <c r="AF437" s="3">
        <v>0</v>
      </c>
      <c r="AG437" s="3">
        <v>3614985.8267299924</v>
      </c>
      <c r="AH437" s="3">
        <v>3614985.8267299924</v>
      </c>
      <c r="AI437" s="3">
        <v>19200000</v>
      </c>
      <c r="AJ437" s="3">
        <v>2226443.9483412202</v>
      </c>
    </row>
    <row r="438" spans="1:36" x14ac:dyDescent="0.2">
      <c r="A438" s="3" t="s">
        <v>75</v>
      </c>
      <c r="B438" s="3" t="s">
        <v>83</v>
      </c>
      <c r="C438" s="3" t="s">
        <v>98</v>
      </c>
      <c r="D438" s="3">
        <v>1</v>
      </c>
      <c r="E438" s="3">
        <v>2022</v>
      </c>
      <c r="F438" s="3">
        <v>1</v>
      </c>
      <c r="G438" s="3" t="s">
        <v>42</v>
      </c>
      <c r="H438" s="3" t="s">
        <v>46</v>
      </c>
      <c r="I438" s="5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 t="e">
        <f t="shared" si="7"/>
        <v>#DIV/0!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</row>
    <row r="439" spans="1:36" x14ac:dyDescent="0.2">
      <c r="A439" s="3" t="s">
        <v>75</v>
      </c>
      <c r="B439" s="3" t="s">
        <v>83</v>
      </c>
      <c r="C439" s="3" t="s">
        <v>98</v>
      </c>
      <c r="D439" s="3">
        <v>1</v>
      </c>
      <c r="E439" s="3">
        <v>2022</v>
      </c>
      <c r="F439" s="3">
        <v>1</v>
      </c>
      <c r="G439" s="3" t="s">
        <v>42</v>
      </c>
      <c r="H439" s="3" t="s">
        <v>40</v>
      </c>
      <c r="I439" s="5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 t="e">
        <f t="shared" si="7"/>
        <v>#DIV/0!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</row>
    <row r="440" spans="1:36" x14ac:dyDescent="0.2">
      <c r="A440" s="3" t="s">
        <v>75</v>
      </c>
      <c r="B440" s="3" t="s">
        <v>83</v>
      </c>
      <c r="C440" s="3" t="s">
        <v>98</v>
      </c>
      <c r="D440" s="3">
        <v>1</v>
      </c>
      <c r="E440" s="3">
        <v>2022</v>
      </c>
      <c r="F440" s="3">
        <v>1</v>
      </c>
      <c r="G440" s="3" t="s">
        <v>48</v>
      </c>
      <c r="H440" s="3" t="s">
        <v>46</v>
      </c>
      <c r="I440" s="5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 t="e">
        <f t="shared" si="7"/>
        <v>#DIV/0!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</row>
    <row r="441" spans="1:36" x14ac:dyDescent="0.2">
      <c r="A441" s="3" t="s">
        <v>75</v>
      </c>
      <c r="B441" s="3" t="s">
        <v>83</v>
      </c>
      <c r="C441" s="3" t="s">
        <v>98</v>
      </c>
      <c r="D441" s="3">
        <v>1</v>
      </c>
      <c r="E441" s="3">
        <v>2022</v>
      </c>
      <c r="F441" s="3">
        <v>1</v>
      </c>
      <c r="G441" s="3" t="s">
        <v>39</v>
      </c>
      <c r="H441" s="3" t="s">
        <v>46</v>
      </c>
      <c r="I441" s="5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 t="e">
        <f t="shared" si="7"/>
        <v>#DIV/0!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</row>
    <row r="442" spans="1:36" x14ac:dyDescent="0.2">
      <c r="A442" s="3" t="s">
        <v>75</v>
      </c>
      <c r="B442" s="3" t="s">
        <v>83</v>
      </c>
      <c r="C442" s="3" t="s">
        <v>98</v>
      </c>
      <c r="D442" s="3">
        <v>1</v>
      </c>
      <c r="E442" s="3">
        <v>2022</v>
      </c>
      <c r="F442" s="3">
        <v>1</v>
      </c>
      <c r="G442" s="3" t="s">
        <v>39</v>
      </c>
      <c r="H442" s="3" t="s">
        <v>40</v>
      </c>
      <c r="I442" s="5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 t="e">
        <f t="shared" si="7"/>
        <v>#DIV/0!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</row>
    <row r="443" spans="1:36" x14ac:dyDescent="0.2">
      <c r="A443" s="3" t="s">
        <v>75</v>
      </c>
      <c r="B443" s="3" t="s">
        <v>83</v>
      </c>
      <c r="C443" s="3" t="s">
        <v>98</v>
      </c>
      <c r="D443" s="3">
        <v>2</v>
      </c>
      <c r="E443" s="3">
        <v>2022</v>
      </c>
      <c r="F443" s="3">
        <v>1</v>
      </c>
      <c r="G443" s="3" t="s">
        <v>42</v>
      </c>
      <c r="H443" s="3" t="s">
        <v>46</v>
      </c>
      <c r="I443" s="5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 t="e">
        <f t="shared" si="7"/>
        <v>#DIV/0!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</row>
    <row r="444" spans="1:36" x14ac:dyDescent="0.2">
      <c r="A444" s="3" t="s">
        <v>75</v>
      </c>
      <c r="B444" s="3" t="s">
        <v>83</v>
      </c>
      <c r="C444" s="3" t="s">
        <v>98</v>
      </c>
      <c r="D444" s="3">
        <v>2</v>
      </c>
      <c r="E444" s="3">
        <v>2022</v>
      </c>
      <c r="F444" s="3">
        <v>1</v>
      </c>
      <c r="G444" s="3" t="s">
        <v>42</v>
      </c>
      <c r="H444" s="3" t="s">
        <v>40</v>
      </c>
      <c r="I444" s="5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 t="e">
        <f t="shared" si="7"/>
        <v>#DIV/0!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</row>
    <row r="445" spans="1:36" x14ac:dyDescent="0.2">
      <c r="A445" s="3" t="s">
        <v>75</v>
      </c>
      <c r="B445" s="3" t="s">
        <v>83</v>
      </c>
      <c r="C445" s="3" t="s">
        <v>98</v>
      </c>
      <c r="D445" s="3">
        <v>2</v>
      </c>
      <c r="E445" s="3">
        <v>2022</v>
      </c>
      <c r="F445" s="3">
        <v>1</v>
      </c>
      <c r="G445" s="3" t="s">
        <v>39</v>
      </c>
      <c r="H445" s="3" t="s">
        <v>46</v>
      </c>
      <c r="I445" s="5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 t="e">
        <f t="shared" si="7"/>
        <v>#DIV/0!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</row>
    <row r="446" spans="1:36" x14ac:dyDescent="0.2">
      <c r="A446" s="3" t="s">
        <v>75</v>
      </c>
      <c r="B446" s="3" t="s">
        <v>83</v>
      </c>
      <c r="C446" s="3" t="s">
        <v>98</v>
      </c>
      <c r="D446" s="3">
        <v>2</v>
      </c>
      <c r="E446" s="3">
        <v>2022</v>
      </c>
      <c r="F446" s="3">
        <v>1</v>
      </c>
      <c r="G446" s="3" t="s">
        <v>39</v>
      </c>
      <c r="H446" s="3" t="s">
        <v>40</v>
      </c>
      <c r="I446" s="5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 t="e">
        <f t="shared" si="7"/>
        <v>#DIV/0!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</row>
    <row r="447" spans="1:36" x14ac:dyDescent="0.2">
      <c r="A447" s="3" t="s">
        <v>75</v>
      </c>
      <c r="B447" s="3" t="s">
        <v>83</v>
      </c>
      <c r="C447" s="3" t="s">
        <v>98</v>
      </c>
      <c r="D447" s="3">
        <v>3</v>
      </c>
      <c r="E447" s="3">
        <v>2022</v>
      </c>
      <c r="F447" s="3">
        <v>1</v>
      </c>
      <c r="G447" s="3" t="s">
        <v>42</v>
      </c>
      <c r="H447" s="3" t="s">
        <v>46</v>
      </c>
      <c r="I447" s="5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 t="e">
        <f t="shared" si="7"/>
        <v>#DIV/0!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</row>
    <row r="448" spans="1:36" x14ac:dyDescent="0.2">
      <c r="A448" s="3" t="s">
        <v>75</v>
      </c>
      <c r="B448" s="3" t="s">
        <v>83</v>
      </c>
      <c r="C448" s="3" t="s">
        <v>98</v>
      </c>
      <c r="D448" s="3">
        <v>3</v>
      </c>
      <c r="E448" s="3">
        <v>2022</v>
      </c>
      <c r="F448" s="3">
        <v>1</v>
      </c>
      <c r="G448" s="3" t="s">
        <v>42</v>
      </c>
      <c r="H448" s="3" t="s">
        <v>40</v>
      </c>
      <c r="I448" s="5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 t="e">
        <f t="shared" si="7"/>
        <v>#DIV/0!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</row>
    <row r="449" spans="1:36" x14ac:dyDescent="0.2">
      <c r="A449" s="3" t="s">
        <v>75</v>
      </c>
      <c r="B449" s="3" t="s">
        <v>83</v>
      </c>
      <c r="C449" s="3" t="s">
        <v>98</v>
      </c>
      <c r="D449" s="3">
        <v>3</v>
      </c>
      <c r="E449" s="3">
        <v>2022</v>
      </c>
      <c r="F449" s="3">
        <v>1</v>
      </c>
      <c r="G449" s="3" t="s">
        <v>39</v>
      </c>
      <c r="H449" s="3" t="s">
        <v>46</v>
      </c>
      <c r="I449" s="5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 t="e">
        <f t="shared" si="7"/>
        <v>#DIV/0!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</row>
    <row r="450" spans="1:36" x14ac:dyDescent="0.2">
      <c r="A450" s="3" t="s">
        <v>75</v>
      </c>
      <c r="B450" s="3" t="s">
        <v>83</v>
      </c>
      <c r="C450" s="3" t="s">
        <v>98</v>
      </c>
      <c r="D450" s="3">
        <v>3</v>
      </c>
      <c r="E450" s="3">
        <v>2022</v>
      </c>
      <c r="F450" s="3">
        <v>1</v>
      </c>
      <c r="G450" s="3" t="s">
        <v>39</v>
      </c>
      <c r="H450" s="3" t="s">
        <v>40</v>
      </c>
      <c r="I450" s="5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 t="e">
        <f t="shared" si="7"/>
        <v>#DIV/0!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</row>
    <row r="451" spans="1:36" x14ac:dyDescent="0.2">
      <c r="A451" s="3" t="s">
        <v>75</v>
      </c>
      <c r="B451" s="3" t="s">
        <v>83</v>
      </c>
      <c r="C451" s="3" t="s">
        <v>98</v>
      </c>
      <c r="D451" s="3">
        <v>2</v>
      </c>
      <c r="E451" s="3">
        <v>2022</v>
      </c>
      <c r="F451" s="3">
        <v>1</v>
      </c>
      <c r="G451" s="3" t="s">
        <v>48</v>
      </c>
      <c r="H451" s="3" t="s">
        <v>46</v>
      </c>
      <c r="I451" s="5">
        <v>433671</v>
      </c>
      <c r="J451" s="3">
        <v>21126</v>
      </c>
      <c r="K451" s="3">
        <v>412545</v>
      </c>
      <c r="L451" s="3">
        <v>250477.43699999998</v>
      </c>
      <c r="M451" s="3">
        <v>162067.56300000002</v>
      </c>
      <c r="N451" s="3">
        <v>1773587.7417338318</v>
      </c>
      <c r="O451" s="3">
        <f t="shared" si="7"/>
        <v>429.91376497929485</v>
      </c>
      <c r="P451" s="3">
        <v>242307.68100000001</v>
      </c>
      <c r="Q451" s="3">
        <v>70898.646000000008</v>
      </c>
      <c r="R451" s="3">
        <v>825495.15573383204</v>
      </c>
      <c r="S451" s="3">
        <v>56686.307999999997</v>
      </c>
      <c r="T451" s="3">
        <v>210748.587</v>
      </c>
      <c r="U451" s="3">
        <v>43959.09</v>
      </c>
      <c r="V451" s="3">
        <v>323492.27400000003</v>
      </c>
      <c r="W451" s="3">
        <v>0</v>
      </c>
      <c r="X451" s="3">
        <v>-1611520.1787338317</v>
      </c>
      <c r="Y451" s="3">
        <v>33.78410461658823</v>
      </c>
      <c r="Z451" s="3">
        <v>52915.106999999996</v>
      </c>
      <c r="AA451" s="3">
        <v>-52881.322895383411</v>
      </c>
      <c r="AB451" s="3">
        <v>0</v>
      </c>
      <c r="AC451" s="3">
        <v>0</v>
      </c>
      <c r="AD451" s="3">
        <v>0</v>
      </c>
      <c r="AE451" s="3">
        <v>-1664401.5016292154</v>
      </c>
      <c r="AF451" s="3">
        <v>0</v>
      </c>
      <c r="AG451" s="3">
        <v>-1664401.5016292154</v>
      </c>
      <c r="AH451" s="3">
        <v>-1664401.5016292154</v>
      </c>
      <c r="AI451" s="3">
        <v>3150000</v>
      </c>
      <c r="AJ451" s="3">
        <v>727195.41509723524</v>
      </c>
    </row>
    <row r="452" spans="1:36" x14ac:dyDescent="0.2">
      <c r="A452" s="3" t="s">
        <v>75</v>
      </c>
      <c r="B452" s="3" t="s">
        <v>83</v>
      </c>
      <c r="C452" s="3" t="s">
        <v>98</v>
      </c>
      <c r="D452" s="3">
        <v>3</v>
      </c>
      <c r="E452" s="3">
        <v>2022</v>
      </c>
      <c r="F452" s="3">
        <v>1</v>
      </c>
      <c r="G452" s="3" t="s">
        <v>48</v>
      </c>
      <c r="H452" s="3" t="s">
        <v>46</v>
      </c>
      <c r="I452" s="5">
        <v>1698411</v>
      </c>
      <c r="J452" s="3">
        <v>188452</v>
      </c>
      <c r="K452" s="3">
        <v>1509959</v>
      </c>
      <c r="L452" s="3">
        <v>903025.98100000003</v>
      </c>
      <c r="M452" s="3">
        <v>606933.01900000009</v>
      </c>
      <c r="N452" s="3">
        <v>1064322.8966859742</v>
      </c>
      <c r="O452" s="3">
        <f t="shared" si="7"/>
        <v>70.486873927436051</v>
      </c>
      <c r="P452" s="3">
        <v>126923.07100000003</v>
      </c>
      <c r="Q452" s="3">
        <v>23175.845000000001</v>
      </c>
      <c r="R452" s="3">
        <v>464593.60168597428</v>
      </c>
      <c r="S452" s="3">
        <v>47255.791000000012</v>
      </c>
      <c r="T452" s="3">
        <v>110000</v>
      </c>
      <c r="U452" s="3">
        <v>75523.877000000008</v>
      </c>
      <c r="V452" s="3">
        <v>216850.71100000001</v>
      </c>
      <c r="W452" s="3">
        <v>0</v>
      </c>
      <c r="X452" s="3">
        <v>-457389.87768597429</v>
      </c>
      <c r="Y452" s="3">
        <v>56.935683276256214</v>
      </c>
      <c r="Z452" s="3">
        <v>26195.565000000002</v>
      </c>
      <c r="AA452" s="3">
        <v>-26138.629316723745</v>
      </c>
      <c r="AB452" s="3">
        <v>0</v>
      </c>
      <c r="AC452" s="3">
        <v>0</v>
      </c>
      <c r="AD452" s="3">
        <v>0</v>
      </c>
      <c r="AE452" s="3">
        <v>-483528.50700269802</v>
      </c>
      <c r="AF452" s="3">
        <v>0</v>
      </c>
      <c r="AG452" s="3">
        <v>-483528.50700269802</v>
      </c>
      <c r="AH452" s="3">
        <v>-483528.50700269802</v>
      </c>
      <c r="AI452" s="3">
        <v>1650000</v>
      </c>
      <c r="AJ452" s="3">
        <v>368561.72603335185</v>
      </c>
    </row>
    <row r="453" spans="1:36" x14ac:dyDescent="0.2">
      <c r="A453" s="3" t="s">
        <v>75</v>
      </c>
      <c r="B453" s="3" t="s">
        <v>83</v>
      </c>
      <c r="C453" s="3" t="s">
        <v>98</v>
      </c>
      <c r="D453" s="3">
        <v>1</v>
      </c>
      <c r="E453" s="3">
        <v>2022</v>
      </c>
      <c r="F453" s="3">
        <v>1</v>
      </c>
      <c r="G453" s="3" t="s">
        <v>48</v>
      </c>
      <c r="H453" s="3" t="s">
        <v>46</v>
      </c>
      <c r="I453" s="5">
        <v>2203710</v>
      </c>
      <c r="J453" s="3">
        <v>12138</v>
      </c>
      <c r="K453" s="3">
        <v>2191572</v>
      </c>
      <c r="L453" s="3">
        <v>1140688.287</v>
      </c>
      <c r="M453" s="3">
        <v>1050883.713</v>
      </c>
      <c r="N453" s="3">
        <v>2240682.7564301761</v>
      </c>
      <c r="O453" s="3">
        <f t="shared" si="7"/>
        <v>102.24089176308951</v>
      </c>
      <c r="P453" s="3">
        <v>196153.837</v>
      </c>
      <c r="Q453" s="3">
        <v>35817.215000000004</v>
      </c>
      <c r="R453" s="3">
        <v>739984.63643017621</v>
      </c>
      <c r="S453" s="3">
        <v>59002.563000000002</v>
      </c>
      <c r="T453" s="3">
        <v>721276</v>
      </c>
      <c r="U453" s="3">
        <v>117285.363</v>
      </c>
      <c r="V453" s="3">
        <v>371163.14199999993</v>
      </c>
      <c r="W453" s="3">
        <v>0</v>
      </c>
      <c r="X453" s="3">
        <v>-1189799.0434301761</v>
      </c>
      <c r="Y453" s="3">
        <v>27.582305413668738</v>
      </c>
      <c r="Z453" s="3">
        <v>42451.328999999998</v>
      </c>
      <c r="AA453" s="3">
        <v>-42423.746694586334</v>
      </c>
      <c r="AB453" s="3">
        <v>0</v>
      </c>
      <c r="AC453" s="3">
        <v>0</v>
      </c>
      <c r="AD453" s="3">
        <v>0</v>
      </c>
      <c r="AE453" s="3">
        <v>-1232222.7901247626</v>
      </c>
      <c r="AF453" s="3">
        <v>0</v>
      </c>
      <c r="AG453" s="3">
        <v>-1232222.7901247626</v>
      </c>
      <c r="AH453" s="3">
        <v>-1232222.7901247626</v>
      </c>
      <c r="AI453" s="3">
        <v>2040000</v>
      </c>
      <c r="AJ453" s="3">
        <v>-301843.49277280201</v>
      </c>
    </row>
    <row r="454" spans="1:36" x14ac:dyDescent="0.2">
      <c r="A454" s="3" t="s">
        <v>75</v>
      </c>
      <c r="B454" s="3" t="s">
        <v>83</v>
      </c>
      <c r="C454" s="3" t="s">
        <v>99</v>
      </c>
      <c r="D454" s="3">
        <v>1</v>
      </c>
      <c r="E454" s="3">
        <v>2022</v>
      </c>
      <c r="F454" s="3">
        <v>1</v>
      </c>
      <c r="G454" s="3" t="s">
        <v>42</v>
      </c>
      <c r="H454" s="3" t="s">
        <v>40</v>
      </c>
      <c r="I454" s="5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 t="e">
        <f t="shared" si="7"/>
        <v>#DIV/0!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</row>
    <row r="455" spans="1:36" x14ac:dyDescent="0.2">
      <c r="A455" s="3" t="s">
        <v>75</v>
      </c>
      <c r="B455" s="3" t="s">
        <v>83</v>
      </c>
      <c r="C455" s="3" t="s">
        <v>99</v>
      </c>
      <c r="D455" s="3">
        <v>1</v>
      </c>
      <c r="E455" s="3">
        <v>2022</v>
      </c>
      <c r="F455" s="3">
        <v>1</v>
      </c>
      <c r="G455" s="3" t="s">
        <v>39</v>
      </c>
      <c r="H455" s="3" t="s">
        <v>40</v>
      </c>
      <c r="I455" s="5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 t="e">
        <f t="shared" si="7"/>
        <v>#DIV/0!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</row>
    <row r="456" spans="1:36" x14ac:dyDescent="0.2">
      <c r="A456" s="3" t="s">
        <v>75</v>
      </c>
      <c r="B456" s="3" t="s">
        <v>83</v>
      </c>
      <c r="C456" s="3" t="s">
        <v>99</v>
      </c>
      <c r="D456" s="3">
        <v>2</v>
      </c>
      <c r="E456" s="3">
        <v>2022</v>
      </c>
      <c r="F456" s="3">
        <v>1</v>
      </c>
      <c r="G456" s="3" t="s">
        <v>42</v>
      </c>
      <c r="H456" s="3" t="s">
        <v>40</v>
      </c>
      <c r="I456" s="5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 t="e">
        <f t="shared" si="7"/>
        <v>#DIV/0!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</row>
    <row r="457" spans="1:36" x14ac:dyDescent="0.2">
      <c r="A457" s="3" t="s">
        <v>75</v>
      </c>
      <c r="B457" s="3" t="s">
        <v>83</v>
      </c>
      <c r="C457" s="3" t="s">
        <v>99</v>
      </c>
      <c r="D457" s="3">
        <v>2</v>
      </c>
      <c r="E457" s="3">
        <v>2022</v>
      </c>
      <c r="F457" s="3">
        <v>1</v>
      </c>
      <c r="G457" s="3" t="s">
        <v>39</v>
      </c>
      <c r="H457" s="3" t="s">
        <v>40</v>
      </c>
      <c r="I457" s="5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 t="e">
        <f t="shared" si="7"/>
        <v>#DIV/0!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</row>
    <row r="458" spans="1:36" x14ac:dyDescent="0.2">
      <c r="A458" s="3" t="s">
        <v>75</v>
      </c>
      <c r="B458" s="3" t="s">
        <v>83</v>
      </c>
      <c r="C458" s="3" t="s">
        <v>99</v>
      </c>
      <c r="D458" s="3">
        <v>3</v>
      </c>
      <c r="E458" s="3">
        <v>2022</v>
      </c>
      <c r="F458" s="3">
        <v>1</v>
      </c>
      <c r="G458" s="3" t="s">
        <v>42</v>
      </c>
      <c r="H458" s="3" t="s">
        <v>40</v>
      </c>
      <c r="I458" s="5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 t="e">
        <f t="shared" si="7"/>
        <v>#DIV/0!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</row>
    <row r="459" spans="1:36" x14ac:dyDescent="0.2">
      <c r="A459" s="3" t="s">
        <v>75</v>
      </c>
      <c r="B459" s="3" t="s">
        <v>83</v>
      </c>
      <c r="C459" s="3" t="s">
        <v>99</v>
      </c>
      <c r="D459" s="3">
        <v>3</v>
      </c>
      <c r="E459" s="3">
        <v>2022</v>
      </c>
      <c r="F459" s="3">
        <v>1</v>
      </c>
      <c r="G459" s="3" t="s">
        <v>39</v>
      </c>
      <c r="H459" s="3" t="s">
        <v>40</v>
      </c>
      <c r="I459" s="5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 t="e">
        <f t="shared" si="7"/>
        <v>#DIV/0!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</row>
    <row r="460" spans="1:36" x14ac:dyDescent="0.2">
      <c r="A460" s="3" t="s">
        <v>75</v>
      </c>
      <c r="B460" s="3" t="s">
        <v>83</v>
      </c>
      <c r="C460" s="3" t="s">
        <v>99</v>
      </c>
      <c r="D460" s="3">
        <v>3</v>
      </c>
      <c r="E460" s="3">
        <v>2022</v>
      </c>
      <c r="F460" s="3">
        <v>1</v>
      </c>
      <c r="G460" s="3" t="s">
        <v>42</v>
      </c>
      <c r="H460" s="3" t="s">
        <v>46</v>
      </c>
      <c r="I460" s="5">
        <v>245939</v>
      </c>
      <c r="J460" s="3">
        <v>0</v>
      </c>
      <c r="K460" s="3">
        <v>245939</v>
      </c>
      <c r="L460" s="3">
        <v>152663.4</v>
      </c>
      <c r="M460" s="3">
        <v>93275.599999999991</v>
      </c>
      <c r="N460" s="3">
        <v>272803.06520572596</v>
      </c>
      <c r="O460" s="3">
        <f t="shared" si="7"/>
        <v>110.92306027337102</v>
      </c>
      <c r="P460" s="3">
        <v>61615.072</v>
      </c>
      <c r="Q460" s="3">
        <v>421.32799999999997</v>
      </c>
      <c r="R460" s="3">
        <v>123991.25320572598</v>
      </c>
      <c r="S460" s="3">
        <v>18569.048999999999</v>
      </c>
      <c r="T460" s="3">
        <v>0</v>
      </c>
      <c r="U460" s="3">
        <v>9327.56</v>
      </c>
      <c r="V460" s="3">
        <v>58878.803</v>
      </c>
      <c r="W460" s="3">
        <v>0</v>
      </c>
      <c r="X460" s="3">
        <v>-179527.46520572601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-179527.46520572601</v>
      </c>
      <c r="AF460" s="3">
        <v>0</v>
      </c>
      <c r="AG460" s="3">
        <v>-179527.46520572601</v>
      </c>
      <c r="AH460" s="3">
        <v>-179527.46520572601</v>
      </c>
      <c r="AI460" s="3">
        <v>425000</v>
      </c>
      <c r="AJ460" s="3">
        <v>119000</v>
      </c>
    </row>
    <row r="461" spans="1:36" x14ac:dyDescent="0.2">
      <c r="A461" s="3" t="s">
        <v>75</v>
      </c>
      <c r="B461" s="3" t="s">
        <v>83</v>
      </c>
      <c r="C461" s="3" t="s">
        <v>99</v>
      </c>
      <c r="D461" s="3">
        <v>2</v>
      </c>
      <c r="E461" s="3">
        <v>2022</v>
      </c>
      <c r="F461" s="3">
        <v>1</v>
      </c>
      <c r="G461" s="3" t="s">
        <v>42</v>
      </c>
      <c r="H461" s="3" t="s">
        <v>46</v>
      </c>
      <c r="I461" s="5">
        <v>302764</v>
      </c>
      <c r="J461" s="3">
        <v>0</v>
      </c>
      <c r="K461" s="3">
        <v>302764</v>
      </c>
      <c r="L461" s="3">
        <v>185858.4</v>
      </c>
      <c r="M461" s="3">
        <v>116905.59999999999</v>
      </c>
      <c r="N461" s="3">
        <v>229419.50910324004</v>
      </c>
      <c r="O461" s="3">
        <f t="shared" si="7"/>
        <v>75.775029099641984</v>
      </c>
      <c r="P461" s="3">
        <v>50741.823999999993</v>
      </c>
      <c r="Q461" s="3">
        <v>2489.2280000000001</v>
      </c>
      <c r="R461" s="3">
        <v>98001.999103240028</v>
      </c>
      <c r="S461" s="3">
        <v>20303.457999999999</v>
      </c>
      <c r="T461" s="3">
        <v>0</v>
      </c>
      <c r="U461" s="3">
        <v>11690.560000000001</v>
      </c>
      <c r="V461" s="3">
        <v>46192.439999999995</v>
      </c>
      <c r="W461" s="3">
        <v>0</v>
      </c>
      <c r="X461" s="3">
        <v>-112513.90910324003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-112513.90910324003</v>
      </c>
      <c r="AF461" s="3">
        <v>0</v>
      </c>
      <c r="AG461" s="3">
        <v>-112513.90910324003</v>
      </c>
      <c r="AH461" s="3">
        <v>-112513.90910324003</v>
      </c>
      <c r="AI461" s="3">
        <v>350000</v>
      </c>
      <c r="AJ461" s="3">
        <v>98000</v>
      </c>
    </row>
    <row r="462" spans="1:36" x14ac:dyDescent="0.2">
      <c r="A462" s="3" t="s">
        <v>75</v>
      </c>
      <c r="B462" s="3" t="s">
        <v>83</v>
      </c>
      <c r="C462" s="3" t="s">
        <v>99</v>
      </c>
      <c r="D462" s="3">
        <v>1</v>
      </c>
      <c r="E462" s="3">
        <v>2022</v>
      </c>
      <c r="F462" s="3">
        <v>1</v>
      </c>
      <c r="G462" s="3" t="s">
        <v>42</v>
      </c>
      <c r="H462" s="3" t="s">
        <v>46</v>
      </c>
      <c r="I462" s="5">
        <v>629926</v>
      </c>
      <c r="J462" s="3">
        <v>62977.399999999994</v>
      </c>
      <c r="K462" s="3">
        <v>566948.6</v>
      </c>
      <c r="L462" s="3">
        <v>377955.6</v>
      </c>
      <c r="M462" s="3">
        <v>188993</v>
      </c>
      <c r="N462" s="3">
        <v>331659.9242958033</v>
      </c>
      <c r="O462" s="3">
        <f t="shared" si="7"/>
        <v>58.49911690333186</v>
      </c>
      <c r="P462" s="3">
        <v>68863.903999999995</v>
      </c>
      <c r="Q462" s="3">
        <v>0</v>
      </c>
      <c r="R462" s="3">
        <v>138306.21529580333</v>
      </c>
      <c r="S462" s="3">
        <v>35357.422999999995</v>
      </c>
      <c r="T462" s="3">
        <v>0</v>
      </c>
      <c r="U462" s="3">
        <v>20946.720999999998</v>
      </c>
      <c r="V462" s="3">
        <v>68185.660999999993</v>
      </c>
      <c r="W462" s="3">
        <v>0</v>
      </c>
      <c r="X462" s="3">
        <v>-142666.9242958033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-142666.9242958033</v>
      </c>
      <c r="AF462" s="3">
        <v>0</v>
      </c>
      <c r="AG462" s="3">
        <v>-142666.9242958033</v>
      </c>
      <c r="AH462" s="3">
        <v>-142666.9242958033</v>
      </c>
      <c r="AI462" s="3">
        <v>475000</v>
      </c>
      <c r="AJ462" s="3">
        <v>133000</v>
      </c>
    </row>
    <row r="463" spans="1:36" x14ac:dyDescent="0.2">
      <c r="A463" s="3" t="s">
        <v>75</v>
      </c>
      <c r="B463" s="3" t="s">
        <v>83</v>
      </c>
      <c r="C463" s="3" t="s">
        <v>99</v>
      </c>
      <c r="D463" s="3">
        <v>3</v>
      </c>
      <c r="E463" s="3">
        <v>2022</v>
      </c>
      <c r="F463" s="3">
        <v>1</v>
      </c>
      <c r="G463" s="3" t="s">
        <v>48</v>
      </c>
      <c r="H463" s="3" t="s">
        <v>46</v>
      </c>
      <c r="I463" s="5">
        <v>2619520</v>
      </c>
      <c r="J463" s="3">
        <v>55552.799999999996</v>
      </c>
      <c r="K463" s="3">
        <v>2563967.2000000002</v>
      </c>
      <c r="L463" s="3">
        <v>1659085.1360000004</v>
      </c>
      <c r="M463" s="3">
        <v>904882.06400000013</v>
      </c>
      <c r="N463" s="3">
        <v>2051000.9060427551</v>
      </c>
      <c r="O463" s="3">
        <f t="shared" si="7"/>
        <v>79.993258339761724</v>
      </c>
      <c r="P463" s="3">
        <v>396311.87199999997</v>
      </c>
      <c r="Q463" s="3">
        <v>2712.4160000000006</v>
      </c>
      <c r="R463" s="3">
        <v>951150.82604275527</v>
      </c>
      <c r="S463" s="3">
        <v>69728.688000000009</v>
      </c>
      <c r="T463" s="3">
        <v>154491.63200000001</v>
      </c>
      <c r="U463" s="3">
        <v>97589.664000000019</v>
      </c>
      <c r="V463" s="3">
        <v>379015.80800000002</v>
      </c>
      <c r="W463" s="3">
        <v>0</v>
      </c>
      <c r="X463" s="3">
        <v>-1146118.8420427551</v>
      </c>
      <c r="Y463" s="3">
        <v>42.084185763832295</v>
      </c>
      <c r="Z463" s="3">
        <v>154899.34400000001</v>
      </c>
      <c r="AA463" s="3">
        <v>-154857.25981423617</v>
      </c>
      <c r="AB463" s="3">
        <v>0</v>
      </c>
      <c r="AC463" s="3">
        <v>0</v>
      </c>
      <c r="AD463" s="3">
        <v>0</v>
      </c>
      <c r="AE463" s="3">
        <v>-1300976.1018569912</v>
      </c>
      <c r="AF463" s="3">
        <v>0</v>
      </c>
      <c r="AG463" s="3">
        <v>-1300976.1018569912</v>
      </c>
      <c r="AH463" s="3">
        <v>-1300976.1018569912</v>
      </c>
      <c r="AI463" s="3">
        <v>6400000</v>
      </c>
      <c r="AJ463" s="3">
        <v>-673512.66677897749</v>
      </c>
    </row>
    <row r="464" spans="1:36" x14ac:dyDescent="0.2">
      <c r="A464" s="3" t="s">
        <v>75</v>
      </c>
      <c r="B464" s="3" t="s">
        <v>83</v>
      </c>
      <c r="C464" s="3" t="s">
        <v>99</v>
      </c>
      <c r="D464" s="3">
        <v>1</v>
      </c>
      <c r="E464" s="3">
        <v>2022</v>
      </c>
      <c r="F464" s="3">
        <v>1</v>
      </c>
      <c r="G464" s="3" t="s">
        <v>48</v>
      </c>
      <c r="H464" s="3" t="s">
        <v>46</v>
      </c>
      <c r="I464" s="5">
        <v>6131800</v>
      </c>
      <c r="J464" s="3">
        <v>141250</v>
      </c>
      <c r="K464" s="3">
        <v>5990550</v>
      </c>
      <c r="L464" s="3">
        <v>3548361.45</v>
      </c>
      <c r="M464" s="3">
        <v>2442188.5500000003</v>
      </c>
      <c r="N464" s="3">
        <v>3374873.2425405569</v>
      </c>
      <c r="O464" s="3">
        <f t="shared" ref="O464:O508" si="8">N464/K464*100</f>
        <v>56.33661754831455</v>
      </c>
      <c r="P464" s="3">
        <v>619237.30000000005</v>
      </c>
      <c r="Q464" s="3">
        <v>0</v>
      </c>
      <c r="R464" s="3">
        <v>1417202.6425405568</v>
      </c>
      <c r="S464" s="3">
        <v>92534.55</v>
      </c>
      <c r="T464" s="3">
        <v>212883.72500000001</v>
      </c>
      <c r="U464" s="3">
        <v>244508.57499999998</v>
      </c>
      <c r="V464" s="3">
        <v>788506.45000000007</v>
      </c>
      <c r="W464" s="3">
        <v>0</v>
      </c>
      <c r="X464" s="3">
        <v>-932684.69254055701</v>
      </c>
      <c r="Y464" s="3">
        <v>109.03507871856014</v>
      </c>
      <c r="Z464" s="3">
        <v>254838.32500000001</v>
      </c>
      <c r="AA464" s="3">
        <v>-254729.28992128145</v>
      </c>
      <c r="AB464" s="3">
        <v>0</v>
      </c>
      <c r="AC464" s="3">
        <v>0</v>
      </c>
      <c r="AD464" s="3">
        <v>0</v>
      </c>
      <c r="AE464" s="3">
        <v>-1187413.9824618385</v>
      </c>
      <c r="AF464" s="3">
        <v>0</v>
      </c>
      <c r="AG464" s="3">
        <v>-1187413.9824618385</v>
      </c>
      <c r="AH464" s="3">
        <v>-1187413.9824618385</v>
      </c>
      <c r="AI464" s="3">
        <v>8750000</v>
      </c>
      <c r="AJ464" s="3">
        <v>-1427363.55</v>
      </c>
    </row>
    <row r="465" spans="1:36" x14ac:dyDescent="0.2">
      <c r="A465" s="3" t="s">
        <v>75</v>
      </c>
      <c r="B465" s="3" t="s">
        <v>83</v>
      </c>
      <c r="C465" s="3" t="s">
        <v>99</v>
      </c>
      <c r="D465" s="3">
        <v>3</v>
      </c>
      <c r="E465" s="3">
        <v>2022</v>
      </c>
      <c r="F465" s="3">
        <v>1</v>
      </c>
      <c r="G465" s="3" t="s">
        <v>39</v>
      </c>
      <c r="H465" s="3" t="s">
        <v>46</v>
      </c>
      <c r="I465" s="5">
        <v>6813387.375</v>
      </c>
      <c r="J465" s="3">
        <v>0</v>
      </c>
      <c r="K465" s="3">
        <v>6813387.375</v>
      </c>
      <c r="L465" s="3">
        <v>6809169.4350000005</v>
      </c>
      <c r="M465" s="3">
        <v>4217.9399999999996</v>
      </c>
      <c r="N465" s="3">
        <v>106675.91842496826</v>
      </c>
      <c r="O465" s="3">
        <f t="shared" si="8"/>
        <v>1.565681100364094</v>
      </c>
      <c r="P465" s="3">
        <v>19564.514999999999</v>
      </c>
      <c r="Q465" s="3">
        <v>133.845</v>
      </c>
      <c r="R465" s="3">
        <v>58205.818424968245</v>
      </c>
      <c r="S465" s="3">
        <v>4417.5599999999995</v>
      </c>
      <c r="T465" s="3">
        <v>5164.1099999999997</v>
      </c>
      <c r="U465" s="3">
        <v>480.6</v>
      </c>
      <c r="V465" s="3">
        <v>18709.469999999998</v>
      </c>
      <c r="W465" s="3">
        <v>0</v>
      </c>
      <c r="X465" s="3">
        <v>-102457.97842496826</v>
      </c>
      <c r="Y465" s="3">
        <v>0</v>
      </c>
      <c r="Z465" s="3">
        <v>0</v>
      </c>
      <c r="AA465" s="3">
        <v>0</v>
      </c>
      <c r="AB465" s="3">
        <v>13922.824751957733</v>
      </c>
      <c r="AC465" s="3">
        <v>762</v>
      </c>
      <c r="AD465" s="3">
        <v>13160.824751957733</v>
      </c>
      <c r="AE465" s="3">
        <v>-89297.153673010529</v>
      </c>
      <c r="AF465" s="3">
        <v>0</v>
      </c>
      <c r="AG465" s="3">
        <v>-89297.153673010529</v>
      </c>
      <c r="AH465" s="3">
        <v>-89297.153673010529</v>
      </c>
      <c r="AI465" s="3">
        <v>30000000</v>
      </c>
      <c r="AJ465" s="3">
        <v>0</v>
      </c>
    </row>
    <row r="466" spans="1:36" x14ac:dyDescent="0.2">
      <c r="A466" s="3" t="s">
        <v>75</v>
      </c>
      <c r="B466" s="3" t="s">
        <v>83</v>
      </c>
      <c r="C466" s="3" t="s">
        <v>99</v>
      </c>
      <c r="D466" s="3">
        <v>1</v>
      </c>
      <c r="E466" s="3">
        <v>2022</v>
      </c>
      <c r="F466" s="3">
        <v>1</v>
      </c>
      <c r="G466" s="3" t="s">
        <v>39</v>
      </c>
      <c r="H466" s="3" t="s">
        <v>46</v>
      </c>
      <c r="I466" s="5">
        <v>9458352.7039999999</v>
      </c>
      <c r="J466" s="3">
        <v>0</v>
      </c>
      <c r="K466" s="3">
        <v>9458352.7039999999</v>
      </c>
      <c r="L466" s="3">
        <v>9450009.5840000007</v>
      </c>
      <c r="M466" s="3">
        <v>8343.1200000000008</v>
      </c>
      <c r="N466" s="3">
        <v>131954.99417708619</v>
      </c>
      <c r="O466" s="3">
        <f t="shared" si="8"/>
        <v>1.3951160239698139</v>
      </c>
      <c r="P466" s="3">
        <v>20868.816000000003</v>
      </c>
      <c r="Q466" s="3">
        <v>0</v>
      </c>
      <c r="R466" s="3">
        <v>61601.778177086177</v>
      </c>
      <c r="S466" s="3">
        <v>3432.0640000000003</v>
      </c>
      <c r="T466" s="3">
        <v>23754.400000000001</v>
      </c>
      <c r="U466" s="3">
        <v>1619.6480000000001</v>
      </c>
      <c r="V466" s="3">
        <v>20678.288</v>
      </c>
      <c r="W466" s="3">
        <v>0</v>
      </c>
      <c r="X466" s="3">
        <v>-123611.8741770862</v>
      </c>
      <c r="Y466" s="3">
        <v>0</v>
      </c>
      <c r="Z466" s="3">
        <v>0</v>
      </c>
      <c r="AA466" s="3">
        <v>0</v>
      </c>
      <c r="AB466" s="3">
        <v>4080</v>
      </c>
      <c r="AC466" s="3">
        <v>2438.4</v>
      </c>
      <c r="AD466" s="3">
        <v>1641.6</v>
      </c>
      <c r="AE466" s="3">
        <v>-121970.27417708619</v>
      </c>
      <c r="AF466" s="3">
        <v>0</v>
      </c>
      <c r="AG466" s="3">
        <v>-121970.27417708619</v>
      </c>
      <c r="AH466" s="3">
        <v>-121970.27417708619</v>
      </c>
      <c r="AI466" s="3">
        <v>32000000</v>
      </c>
      <c r="AJ466" s="3">
        <v>0</v>
      </c>
    </row>
    <row r="467" spans="1:36" x14ac:dyDescent="0.2">
      <c r="A467" s="3" t="s">
        <v>75</v>
      </c>
      <c r="B467" s="3" t="s">
        <v>83</v>
      </c>
      <c r="C467" s="3" t="s">
        <v>99</v>
      </c>
      <c r="D467" s="3">
        <v>2</v>
      </c>
      <c r="E467" s="3">
        <v>2022</v>
      </c>
      <c r="F467" s="3">
        <v>1</v>
      </c>
      <c r="G467" s="3" t="s">
        <v>48</v>
      </c>
      <c r="H467" s="3" t="s">
        <v>46</v>
      </c>
      <c r="I467" s="5">
        <v>9998046</v>
      </c>
      <c r="J467" s="3">
        <v>83835.000000000015</v>
      </c>
      <c r="K467" s="3">
        <v>9914211</v>
      </c>
      <c r="L467" s="3">
        <v>6218315.3249999993</v>
      </c>
      <c r="M467" s="3">
        <v>3695895.6749999998</v>
      </c>
      <c r="N467" s="3">
        <v>3500971.6219518259</v>
      </c>
      <c r="O467" s="3">
        <f t="shared" si="8"/>
        <v>35.312659998378351</v>
      </c>
      <c r="P467" s="3">
        <v>668776.28399999999</v>
      </c>
      <c r="Q467" s="3">
        <v>32836.400999999998</v>
      </c>
      <c r="R467" s="3">
        <v>1488000.391951825</v>
      </c>
      <c r="S467" s="3">
        <v>119519.90100000001</v>
      </c>
      <c r="T467" s="3">
        <v>219788.20800000001</v>
      </c>
      <c r="U467" s="3">
        <v>362748.88800000009</v>
      </c>
      <c r="V467" s="3">
        <v>609301.54800000007</v>
      </c>
      <c r="W467" s="3">
        <v>0</v>
      </c>
      <c r="X467" s="3">
        <v>194924.05304817483</v>
      </c>
      <c r="Y467" s="3">
        <v>275.6061460713247</v>
      </c>
      <c r="Z467" s="3">
        <v>280778.29200000002</v>
      </c>
      <c r="AA467" s="3">
        <v>-280502.68585392868</v>
      </c>
      <c r="AB467" s="3">
        <v>0</v>
      </c>
      <c r="AC467" s="3">
        <v>0</v>
      </c>
      <c r="AD467" s="3">
        <v>0</v>
      </c>
      <c r="AE467" s="3">
        <v>-85578.632805753878</v>
      </c>
      <c r="AF467" s="3">
        <v>0</v>
      </c>
      <c r="AG467" s="3">
        <v>-85578.632805753878</v>
      </c>
      <c r="AH467" s="3">
        <v>-85578.632805753878</v>
      </c>
      <c r="AI467" s="3">
        <v>9450000.0000000019</v>
      </c>
      <c r="AJ467" s="3">
        <v>-1541552.6251895241</v>
      </c>
    </row>
    <row r="468" spans="1:36" x14ac:dyDescent="0.2">
      <c r="A468" s="3" t="s">
        <v>75</v>
      </c>
      <c r="B468" s="3" t="s">
        <v>83</v>
      </c>
      <c r="C468" s="3" t="s">
        <v>99</v>
      </c>
      <c r="D468" s="3">
        <v>2</v>
      </c>
      <c r="E468" s="3">
        <v>2022</v>
      </c>
      <c r="F468" s="3">
        <v>1</v>
      </c>
      <c r="G468" s="3" t="s">
        <v>39</v>
      </c>
      <c r="H468" s="3" t="s">
        <v>46</v>
      </c>
      <c r="I468" s="5">
        <v>29123945.260000002</v>
      </c>
      <c r="J468" s="3">
        <v>0</v>
      </c>
      <c r="K468" s="3">
        <v>29123945.260000002</v>
      </c>
      <c r="L468" s="3">
        <v>29100700.920000002</v>
      </c>
      <c r="M468" s="3">
        <v>23244.340000000004</v>
      </c>
      <c r="N468" s="3">
        <v>173892.75543059345</v>
      </c>
      <c r="O468" s="3">
        <f t="shared" si="8"/>
        <v>0.59707829374828814</v>
      </c>
      <c r="P468" s="3">
        <v>26086.019999999997</v>
      </c>
      <c r="Q468" s="3">
        <v>1280.18</v>
      </c>
      <c r="R468" s="3">
        <v>77846.795430593455</v>
      </c>
      <c r="S468" s="3">
        <v>4290.08</v>
      </c>
      <c r="T468" s="3">
        <v>38092.58</v>
      </c>
      <c r="U468" s="3">
        <v>2531.94</v>
      </c>
      <c r="V468" s="3">
        <v>23765.16</v>
      </c>
      <c r="W468" s="3">
        <v>0</v>
      </c>
      <c r="X468" s="3">
        <v>-150648.41543059345</v>
      </c>
      <c r="Y468" s="3">
        <v>0</v>
      </c>
      <c r="Z468" s="3">
        <v>0</v>
      </c>
      <c r="AA468" s="3">
        <v>0</v>
      </c>
      <c r="AB468" s="3">
        <v>19463.766335943641</v>
      </c>
      <c r="AC468" s="3">
        <v>1524</v>
      </c>
      <c r="AD468" s="3">
        <v>17939.766335943641</v>
      </c>
      <c r="AE468" s="3">
        <v>-132708.64909464982</v>
      </c>
      <c r="AF468" s="3">
        <v>0</v>
      </c>
      <c r="AG468" s="3">
        <v>-132708.64909464982</v>
      </c>
      <c r="AH468" s="3">
        <v>-132708.64909464982</v>
      </c>
      <c r="AI468" s="3">
        <v>60000000</v>
      </c>
      <c r="AJ468" s="3">
        <v>0</v>
      </c>
    </row>
    <row r="469" spans="1:36" x14ac:dyDescent="0.2">
      <c r="A469" s="3" t="s">
        <v>75</v>
      </c>
      <c r="B469" s="3" t="s">
        <v>83</v>
      </c>
      <c r="C469" s="3" t="s">
        <v>100</v>
      </c>
      <c r="D469" s="3">
        <v>1</v>
      </c>
      <c r="E469" s="3">
        <v>2022</v>
      </c>
      <c r="F469" s="3">
        <v>1</v>
      </c>
      <c r="G469" s="3" t="s">
        <v>42</v>
      </c>
      <c r="H469" s="3" t="s">
        <v>40</v>
      </c>
      <c r="I469" s="5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 t="e">
        <f t="shared" si="8"/>
        <v>#DIV/0!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</row>
    <row r="470" spans="1:36" x14ac:dyDescent="0.2">
      <c r="A470" s="3" t="s">
        <v>75</v>
      </c>
      <c r="B470" s="3" t="s">
        <v>83</v>
      </c>
      <c r="C470" s="3" t="s">
        <v>100</v>
      </c>
      <c r="D470" s="3">
        <v>1</v>
      </c>
      <c r="E470" s="3">
        <v>2022</v>
      </c>
      <c r="F470" s="3">
        <v>1</v>
      </c>
      <c r="G470" s="3" t="s">
        <v>48</v>
      </c>
      <c r="H470" s="3" t="s">
        <v>46</v>
      </c>
      <c r="I470" s="5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 t="e">
        <f t="shared" si="8"/>
        <v>#DIV/0!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</row>
    <row r="471" spans="1:36" x14ac:dyDescent="0.2">
      <c r="A471" s="3" t="s">
        <v>75</v>
      </c>
      <c r="B471" s="3" t="s">
        <v>83</v>
      </c>
      <c r="C471" s="3" t="s">
        <v>100</v>
      </c>
      <c r="D471" s="3">
        <v>1</v>
      </c>
      <c r="E471" s="3">
        <v>2022</v>
      </c>
      <c r="F471" s="3">
        <v>1</v>
      </c>
      <c r="G471" s="3" t="s">
        <v>39</v>
      </c>
      <c r="H471" s="3" t="s">
        <v>40</v>
      </c>
      <c r="I471" s="5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 t="e">
        <f t="shared" si="8"/>
        <v>#DIV/0!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</row>
    <row r="472" spans="1:36" x14ac:dyDescent="0.2">
      <c r="A472" s="3" t="s">
        <v>75</v>
      </c>
      <c r="B472" s="3" t="s">
        <v>83</v>
      </c>
      <c r="C472" s="3" t="s">
        <v>100</v>
      </c>
      <c r="D472" s="3">
        <v>2</v>
      </c>
      <c r="E472" s="3">
        <v>2022</v>
      </c>
      <c r="F472" s="3">
        <v>1</v>
      </c>
      <c r="G472" s="3" t="s">
        <v>42</v>
      </c>
      <c r="H472" s="3" t="s">
        <v>40</v>
      </c>
      <c r="I472" s="5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 t="e">
        <f t="shared" si="8"/>
        <v>#DIV/0!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</row>
    <row r="473" spans="1:36" x14ac:dyDescent="0.2">
      <c r="A473" s="3" t="s">
        <v>75</v>
      </c>
      <c r="B473" s="3" t="s">
        <v>83</v>
      </c>
      <c r="C473" s="3" t="s">
        <v>100</v>
      </c>
      <c r="D473" s="3">
        <v>2</v>
      </c>
      <c r="E473" s="3">
        <v>2022</v>
      </c>
      <c r="F473" s="3">
        <v>1</v>
      </c>
      <c r="G473" s="3" t="s">
        <v>39</v>
      </c>
      <c r="H473" s="3" t="s">
        <v>40</v>
      </c>
      <c r="I473" s="5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 t="e">
        <f t="shared" si="8"/>
        <v>#DIV/0!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</row>
    <row r="474" spans="1:36" x14ac:dyDescent="0.2">
      <c r="A474" s="3" t="s">
        <v>75</v>
      </c>
      <c r="B474" s="3" t="s">
        <v>83</v>
      </c>
      <c r="C474" s="3" t="s">
        <v>100</v>
      </c>
      <c r="D474" s="3">
        <v>3</v>
      </c>
      <c r="E474" s="3">
        <v>2022</v>
      </c>
      <c r="F474" s="3">
        <v>1</v>
      </c>
      <c r="G474" s="3" t="s">
        <v>42</v>
      </c>
      <c r="H474" s="3" t="s">
        <v>46</v>
      </c>
      <c r="I474" s="5">
        <v>0</v>
      </c>
      <c r="J474" s="3">
        <v>0</v>
      </c>
      <c r="K474" s="3">
        <v>0</v>
      </c>
      <c r="L474" s="3">
        <v>0</v>
      </c>
      <c r="M474" s="3">
        <v>0</v>
      </c>
      <c r="N474" s="3">
        <v>164774.49232704469</v>
      </c>
      <c r="O474" s="3" t="e">
        <f t="shared" si="8"/>
        <v>#DIV/0!</v>
      </c>
      <c r="P474" s="3">
        <v>29432.448000000004</v>
      </c>
      <c r="Q474" s="3">
        <v>0</v>
      </c>
      <c r="R474" s="3">
        <v>94161.176327044697</v>
      </c>
      <c r="S474" s="3">
        <v>4324.41</v>
      </c>
      <c r="T474" s="3">
        <v>0</v>
      </c>
      <c r="U474" s="3">
        <v>0</v>
      </c>
      <c r="V474" s="3">
        <v>36856.457999999999</v>
      </c>
      <c r="W474" s="3">
        <v>0</v>
      </c>
      <c r="X474" s="3">
        <v>-164774.49232704469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-164774.49232704469</v>
      </c>
      <c r="AF474" s="3">
        <v>0</v>
      </c>
      <c r="AG474" s="3">
        <v>-164774.49232704469</v>
      </c>
      <c r="AH474" s="3">
        <v>-164774.49232704469</v>
      </c>
      <c r="AI474" s="3">
        <v>450000</v>
      </c>
      <c r="AJ474" s="3">
        <v>144000</v>
      </c>
    </row>
    <row r="475" spans="1:36" x14ac:dyDescent="0.2">
      <c r="A475" s="3" t="s">
        <v>75</v>
      </c>
      <c r="B475" s="3" t="s">
        <v>83</v>
      </c>
      <c r="C475" s="3" t="s">
        <v>100</v>
      </c>
      <c r="D475" s="3">
        <v>3</v>
      </c>
      <c r="E475" s="3">
        <v>2022</v>
      </c>
      <c r="F475" s="3">
        <v>1</v>
      </c>
      <c r="G475" s="3" t="s">
        <v>42</v>
      </c>
      <c r="H475" s="3" t="s">
        <v>40</v>
      </c>
      <c r="I475" s="5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 t="e">
        <f t="shared" si="8"/>
        <v>#DIV/0!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</row>
    <row r="476" spans="1:36" x14ac:dyDescent="0.2">
      <c r="A476" s="3" t="s">
        <v>75</v>
      </c>
      <c r="B476" s="3" t="s">
        <v>83</v>
      </c>
      <c r="C476" s="3" t="s">
        <v>100</v>
      </c>
      <c r="D476" s="3">
        <v>3</v>
      </c>
      <c r="E476" s="3">
        <v>2022</v>
      </c>
      <c r="F476" s="3">
        <v>1</v>
      </c>
      <c r="G476" s="3" t="s">
        <v>39</v>
      </c>
      <c r="H476" s="3" t="s">
        <v>40</v>
      </c>
      <c r="I476" s="5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 t="e">
        <f t="shared" si="8"/>
        <v>#DIV/0!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</row>
    <row r="477" spans="1:36" x14ac:dyDescent="0.2">
      <c r="A477" s="3" t="s">
        <v>75</v>
      </c>
      <c r="B477" s="3" t="s">
        <v>83</v>
      </c>
      <c r="C477" s="3" t="s">
        <v>100</v>
      </c>
      <c r="D477" s="3">
        <v>2</v>
      </c>
      <c r="E477" s="3">
        <v>2022</v>
      </c>
      <c r="F477" s="3">
        <v>1</v>
      </c>
      <c r="G477" s="3" t="s">
        <v>42</v>
      </c>
      <c r="H477" s="3" t="s">
        <v>46</v>
      </c>
      <c r="I477" s="5">
        <v>75240</v>
      </c>
      <c r="J477" s="3">
        <v>0</v>
      </c>
      <c r="K477" s="3">
        <v>75240</v>
      </c>
      <c r="L477" s="3">
        <v>46344</v>
      </c>
      <c r="M477" s="3">
        <v>28896</v>
      </c>
      <c r="N477" s="3">
        <v>141680.29022889084</v>
      </c>
      <c r="O477" s="3">
        <f t="shared" si="8"/>
        <v>188.30447930474591</v>
      </c>
      <c r="P477" s="3">
        <v>24527.040000000001</v>
      </c>
      <c r="Q477" s="3">
        <v>1800</v>
      </c>
      <c r="R477" s="3">
        <v>74712.190228890831</v>
      </c>
      <c r="S477" s="3">
        <v>7365.6750000000002</v>
      </c>
      <c r="T477" s="3">
        <v>0</v>
      </c>
      <c r="U477" s="3">
        <v>2889.6</v>
      </c>
      <c r="V477" s="3">
        <v>30385.785</v>
      </c>
      <c r="W477" s="3">
        <v>0</v>
      </c>
      <c r="X477" s="3">
        <v>-112784.29022889087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-112784.29022889087</v>
      </c>
      <c r="AF477" s="3">
        <v>0</v>
      </c>
      <c r="AG477" s="3">
        <v>-112784.29022889087</v>
      </c>
      <c r="AH477" s="3">
        <v>-112784.29022889087</v>
      </c>
      <c r="AI477" s="3">
        <v>375000</v>
      </c>
      <c r="AJ477" s="3">
        <v>120000</v>
      </c>
    </row>
    <row r="478" spans="1:36" x14ac:dyDescent="0.2">
      <c r="A478" s="3" t="s">
        <v>75</v>
      </c>
      <c r="B478" s="3" t="s">
        <v>83</v>
      </c>
      <c r="C478" s="3" t="s">
        <v>100</v>
      </c>
      <c r="D478" s="3">
        <v>1</v>
      </c>
      <c r="E478" s="3">
        <v>2022</v>
      </c>
      <c r="F478" s="3">
        <v>1</v>
      </c>
      <c r="G478" s="3" t="s">
        <v>42</v>
      </c>
      <c r="H478" s="3" t="s">
        <v>46</v>
      </c>
      <c r="I478" s="5">
        <v>381864</v>
      </c>
      <c r="J478" s="3">
        <v>34826.400000000001</v>
      </c>
      <c r="K478" s="3">
        <v>347037.60000000003</v>
      </c>
      <c r="L478" s="3">
        <v>232478.4</v>
      </c>
      <c r="M478" s="3">
        <v>114559.2</v>
      </c>
      <c r="N478" s="3">
        <v>174302.08297691203</v>
      </c>
      <c r="O478" s="3">
        <f t="shared" si="8"/>
        <v>50.225705507677553</v>
      </c>
      <c r="P478" s="3">
        <v>22891.903999999999</v>
      </c>
      <c r="Q478" s="3">
        <v>0</v>
      </c>
      <c r="R478" s="3">
        <v>71641.510976912046</v>
      </c>
      <c r="S478" s="3">
        <v>20715.309999999998</v>
      </c>
      <c r="T478" s="3">
        <v>0</v>
      </c>
      <c r="U478" s="3">
        <v>12474.097999999998</v>
      </c>
      <c r="V478" s="3">
        <v>46579.26</v>
      </c>
      <c r="W478" s="3">
        <v>0</v>
      </c>
      <c r="X478" s="3">
        <v>-59742.882976912035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-59742.882976912035</v>
      </c>
      <c r="AF478" s="3">
        <v>0</v>
      </c>
      <c r="AG478" s="3">
        <v>-59742.882976912035</v>
      </c>
      <c r="AH478" s="3">
        <v>-59742.882976912035</v>
      </c>
      <c r="AI478" s="3">
        <v>350000</v>
      </c>
      <c r="AJ478" s="3">
        <v>112000</v>
      </c>
    </row>
    <row r="479" spans="1:36" x14ac:dyDescent="0.2">
      <c r="A479" s="3" t="s">
        <v>75</v>
      </c>
      <c r="B479" s="3" t="s">
        <v>83</v>
      </c>
      <c r="C479" s="3" t="s">
        <v>100</v>
      </c>
      <c r="D479" s="3">
        <v>2</v>
      </c>
      <c r="E479" s="3">
        <v>2022</v>
      </c>
      <c r="F479" s="3">
        <v>1</v>
      </c>
      <c r="G479" s="3" t="s">
        <v>48</v>
      </c>
      <c r="H479" s="3" t="s">
        <v>46</v>
      </c>
      <c r="I479" s="5">
        <v>3827417.0000000009</v>
      </c>
      <c r="J479" s="3">
        <v>0</v>
      </c>
      <c r="K479" s="3">
        <v>3827417.0000000009</v>
      </c>
      <c r="L479" s="3">
        <v>2570919.8570000003</v>
      </c>
      <c r="M479" s="3">
        <v>1256497.1430000002</v>
      </c>
      <c r="N479" s="3">
        <v>1361299.1440812417</v>
      </c>
      <c r="O479" s="3">
        <f t="shared" si="8"/>
        <v>35.567045453402159</v>
      </c>
      <c r="P479" s="3">
        <v>189031.50200000004</v>
      </c>
      <c r="Q479" s="3">
        <v>13860</v>
      </c>
      <c r="R479" s="3">
        <v>663260.69308124157</v>
      </c>
      <c r="S479" s="3">
        <v>43616.892</v>
      </c>
      <c r="T479" s="3">
        <v>91743.641000000003</v>
      </c>
      <c r="U479" s="3">
        <v>125828.35100000002</v>
      </c>
      <c r="V479" s="3">
        <v>233958.06500000003</v>
      </c>
      <c r="W479" s="3">
        <v>0</v>
      </c>
      <c r="X479" s="3">
        <v>-104802.00108124161</v>
      </c>
      <c r="Y479" s="3">
        <v>132.37799535857738</v>
      </c>
      <c r="Z479" s="3">
        <v>117840.833</v>
      </c>
      <c r="AA479" s="3">
        <v>-117708.45500464144</v>
      </c>
      <c r="AB479" s="3">
        <v>0</v>
      </c>
      <c r="AC479" s="3">
        <v>0</v>
      </c>
      <c r="AD479" s="3">
        <v>0</v>
      </c>
      <c r="AE479" s="3">
        <v>-222510.45608588302</v>
      </c>
      <c r="AF479" s="3">
        <v>0</v>
      </c>
      <c r="AG479" s="3">
        <v>-222510.45608588302</v>
      </c>
      <c r="AH479" s="3">
        <v>-222510.45608588302</v>
      </c>
      <c r="AI479" s="3">
        <v>3850000.0000000005</v>
      </c>
      <c r="AJ479" s="3">
        <v>-468322.29528240359</v>
      </c>
    </row>
    <row r="480" spans="1:36" x14ac:dyDescent="0.2">
      <c r="A480" s="3" t="s">
        <v>75</v>
      </c>
      <c r="B480" s="3" t="s">
        <v>83</v>
      </c>
      <c r="C480" s="3" t="s">
        <v>100</v>
      </c>
      <c r="D480" s="3">
        <v>3</v>
      </c>
      <c r="E480" s="3">
        <v>2022</v>
      </c>
      <c r="F480" s="3">
        <v>1</v>
      </c>
      <c r="G480" s="3" t="s">
        <v>39</v>
      </c>
      <c r="H480" s="3" t="s">
        <v>46</v>
      </c>
      <c r="I480" s="5">
        <v>4515539.4239999996</v>
      </c>
      <c r="J480" s="3">
        <v>0</v>
      </c>
      <c r="K480" s="3">
        <v>4515539.4239999996</v>
      </c>
      <c r="L480" s="3">
        <v>4512309.7520000003</v>
      </c>
      <c r="M480" s="3">
        <v>3229.672</v>
      </c>
      <c r="N480" s="3">
        <v>256874.44438571433</v>
      </c>
      <c r="O480" s="3">
        <f t="shared" si="8"/>
        <v>5.6886768172243594</v>
      </c>
      <c r="P480" s="3">
        <v>35531.582999999999</v>
      </c>
      <c r="Q480" s="3">
        <v>0</v>
      </c>
      <c r="R480" s="3">
        <v>157511.45438571437</v>
      </c>
      <c r="S480" s="3">
        <v>8989.5650000000005</v>
      </c>
      <c r="T480" s="3">
        <v>9983.9459999999999</v>
      </c>
      <c r="U480" s="3">
        <v>322.97300000000001</v>
      </c>
      <c r="V480" s="3">
        <v>44534.922999999995</v>
      </c>
      <c r="W480" s="3">
        <v>0</v>
      </c>
      <c r="X480" s="3">
        <v>-253644.77238571434</v>
      </c>
      <c r="Y480" s="3">
        <v>0</v>
      </c>
      <c r="Z480" s="3">
        <v>0</v>
      </c>
      <c r="AA480" s="3">
        <v>0</v>
      </c>
      <c r="AB480" s="3">
        <v>20697.73766029712</v>
      </c>
      <c r="AC480" s="3">
        <v>0</v>
      </c>
      <c r="AD480" s="3">
        <v>20697.73766029712</v>
      </c>
      <c r="AE480" s="3">
        <v>-232947.03472541727</v>
      </c>
      <c r="AF480" s="3">
        <v>0</v>
      </c>
      <c r="AG480" s="3">
        <v>-232947.03472541727</v>
      </c>
      <c r="AH480" s="3">
        <v>-232947.03472541727</v>
      </c>
      <c r="AI480" s="3">
        <v>58000000</v>
      </c>
      <c r="AJ480" s="3">
        <v>0</v>
      </c>
    </row>
    <row r="481" spans="1:36" x14ac:dyDescent="0.2">
      <c r="A481" s="3" t="s">
        <v>75</v>
      </c>
      <c r="B481" s="3" t="s">
        <v>83</v>
      </c>
      <c r="C481" s="3" t="s">
        <v>100</v>
      </c>
      <c r="D481" s="3">
        <v>3</v>
      </c>
      <c r="E481" s="3">
        <v>2022</v>
      </c>
      <c r="F481" s="3">
        <v>1</v>
      </c>
      <c r="G481" s="3" t="s">
        <v>48</v>
      </c>
      <c r="H481" s="3" t="s">
        <v>46</v>
      </c>
      <c r="I481" s="5">
        <v>6754680</v>
      </c>
      <c r="J481" s="3">
        <v>338618.5</v>
      </c>
      <c r="K481" s="3">
        <v>6416061.5</v>
      </c>
      <c r="L481" s="3">
        <v>3934061.6469357996</v>
      </c>
      <c r="M481" s="3">
        <v>2481999.8530641999</v>
      </c>
      <c r="N481" s="3">
        <v>3665009.6381571121</v>
      </c>
      <c r="O481" s="3">
        <f t="shared" si="8"/>
        <v>57.122420633859448</v>
      </c>
      <c r="P481" s="3">
        <v>498355.77799999999</v>
      </c>
      <c r="Q481" s="3">
        <v>0</v>
      </c>
      <c r="R481" s="3">
        <v>1892246.9751571119</v>
      </c>
      <c r="S481" s="3">
        <v>133923.18900000001</v>
      </c>
      <c r="T481" s="3">
        <v>280016.05399999995</v>
      </c>
      <c r="U481" s="3">
        <v>237011.80900000001</v>
      </c>
      <c r="V481" s="3">
        <v>623455.83299999998</v>
      </c>
      <c r="W481" s="3">
        <v>0</v>
      </c>
      <c r="X481" s="3">
        <v>-1183009.7850929117</v>
      </c>
      <c r="Y481" s="3">
        <v>183.36524221073392</v>
      </c>
      <c r="Z481" s="3">
        <v>309026.29099999997</v>
      </c>
      <c r="AA481" s="3">
        <v>-308842.92575778929</v>
      </c>
      <c r="AB481" s="3">
        <v>0</v>
      </c>
      <c r="AC481" s="3">
        <v>0</v>
      </c>
      <c r="AD481" s="3">
        <v>0</v>
      </c>
      <c r="AE481" s="3">
        <v>-1491852.710850701</v>
      </c>
      <c r="AF481" s="3">
        <v>0</v>
      </c>
      <c r="AG481" s="3">
        <v>-1491852.710850701</v>
      </c>
      <c r="AH481" s="3">
        <v>-1491852.710850701</v>
      </c>
      <c r="AI481" s="3">
        <v>11600000</v>
      </c>
      <c r="AJ481" s="3">
        <v>-799667.86938088201</v>
      </c>
    </row>
    <row r="482" spans="1:36" x14ac:dyDescent="0.2">
      <c r="A482" s="3" t="s">
        <v>75</v>
      </c>
      <c r="B482" s="3" t="s">
        <v>83</v>
      </c>
      <c r="C482" s="3" t="s">
        <v>100</v>
      </c>
      <c r="D482" s="3">
        <v>1</v>
      </c>
      <c r="E482" s="3">
        <v>2022</v>
      </c>
      <c r="F482" s="3">
        <v>1</v>
      </c>
      <c r="G482" s="3" t="s">
        <v>48</v>
      </c>
      <c r="H482" s="3" t="s">
        <v>46</v>
      </c>
      <c r="I482" s="5">
        <v>7030998</v>
      </c>
      <c r="J482" s="3">
        <v>205998</v>
      </c>
      <c r="K482" s="3">
        <v>6825000</v>
      </c>
      <c r="L482" s="3">
        <v>4567774.0940000005</v>
      </c>
      <c r="M482" s="3">
        <v>2257225.906</v>
      </c>
      <c r="N482" s="3">
        <v>3300430.0059871674</v>
      </c>
      <c r="O482" s="3">
        <f t="shared" si="8"/>
        <v>48.357948805672777</v>
      </c>
      <c r="P482" s="3">
        <v>446801.73200000008</v>
      </c>
      <c r="Q482" s="3">
        <v>0</v>
      </c>
      <c r="R482" s="3">
        <v>1595772.3759871672</v>
      </c>
      <c r="S482" s="3">
        <v>88381.722000000009</v>
      </c>
      <c r="T482" s="3">
        <v>221399.1</v>
      </c>
      <c r="U482" s="3">
        <v>284652.28999999998</v>
      </c>
      <c r="V482" s="3">
        <v>663422.78600000008</v>
      </c>
      <c r="W482" s="3">
        <v>0</v>
      </c>
      <c r="X482" s="3">
        <v>-1043204.0999871669</v>
      </c>
      <c r="Y482" s="3">
        <v>204.27280905928373</v>
      </c>
      <c r="Z482" s="3">
        <v>269184.21400000004</v>
      </c>
      <c r="AA482" s="3">
        <v>-268979.94119094068</v>
      </c>
      <c r="AB482" s="3">
        <v>0</v>
      </c>
      <c r="AC482" s="3">
        <v>0</v>
      </c>
      <c r="AD482" s="3">
        <v>0</v>
      </c>
      <c r="AE482" s="3">
        <v>-1312184.0411781077</v>
      </c>
      <c r="AF482" s="3">
        <v>0</v>
      </c>
      <c r="AG482" s="3">
        <v>-1312184.0411781077</v>
      </c>
      <c r="AH482" s="3">
        <v>-1312184.0411781077</v>
      </c>
      <c r="AI482" s="3">
        <v>9100000</v>
      </c>
      <c r="AJ482" s="3">
        <v>-1106943.6040000001</v>
      </c>
    </row>
    <row r="483" spans="1:36" x14ac:dyDescent="0.2">
      <c r="A483" s="3" t="s">
        <v>75</v>
      </c>
      <c r="B483" s="3" t="s">
        <v>83</v>
      </c>
      <c r="C483" s="3" t="s">
        <v>100</v>
      </c>
      <c r="D483" s="3">
        <v>1</v>
      </c>
      <c r="E483" s="3">
        <v>2022</v>
      </c>
      <c r="F483" s="3">
        <v>1</v>
      </c>
      <c r="G483" s="3" t="s">
        <v>39</v>
      </c>
      <c r="H483" s="3" t="s">
        <v>46</v>
      </c>
      <c r="I483" s="5">
        <v>7354294.4589999989</v>
      </c>
      <c r="J483" s="3">
        <v>0</v>
      </c>
      <c r="K483" s="3">
        <v>7354294.4589999989</v>
      </c>
      <c r="L483" s="3">
        <v>7345698.8530000001</v>
      </c>
      <c r="M483" s="3">
        <v>8595.6059999999998</v>
      </c>
      <c r="N483" s="3">
        <v>229513.00545453146</v>
      </c>
      <c r="O483" s="3">
        <f t="shared" si="8"/>
        <v>3.1208025016411911</v>
      </c>
      <c r="P483" s="3">
        <v>28180.220999999998</v>
      </c>
      <c r="Q483" s="3">
        <v>0</v>
      </c>
      <c r="R483" s="3">
        <v>121251.49945453147</v>
      </c>
      <c r="S483" s="3">
        <v>6117.6549999999997</v>
      </c>
      <c r="T483" s="3">
        <v>34146.949999999997</v>
      </c>
      <c r="U483" s="3">
        <v>2114.5509999999999</v>
      </c>
      <c r="V483" s="3">
        <v>37702.129000000001</v>
      </c>
      <c r="W483" s="3">
        <v>0</v>
      </c>
      <c r="X483" s="3">
        <v>-220917.39945453149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-220917.39945453149</v>
      </c>
      <c r="AF483" s="3">
        <v>0</v>
      </c>
      <c r="AG483" s="3">
        <v>-220917.39945453149</v>
      </c>
      <c r="AH483" s="3">
        <v>-220917.39945453149</v>
      </c>
      <c r="AI483" s="3">
        <v>46000000</v>
      </c>
      <c r="AJ483" s="3">
        <v>0</v>
      </c>
    </row>
    <row r="484" spans="1:36" x14ac:dyDescent="0.2">
      <c r="A484" s="3" t="s">
        <v>75</v>
      </c>
      <c r="B484" s="3" t="s">
        <v>83</v>
      </c>
      <c r="C484" s="3" t="s">
        <v>100</v>
      </c>
      <c r="D484" s="3">
        <v>2</v>
      </c>
      <c r="E484" s="3">
        <v>2022</v>
      </c>
      <c r="F484" s="3">
        <v>1</v>
      </c>
      <c r="G484" s="3" t="s">
        <v>39</v>
      </c>
      <c r="H484" s="3" t="s">
        <v>46</v>
      </c>
      <c r="I484" s="5">
        <v>12101288.640000001</v>
      </c>
      <c r="J484" s="3">
        <v>0</v>
      </c>
      <c r="K484" s="3">
        <v>12101288.640000001</v>
      </c>
      <c r="L484" s="3">
        <v>12091641.42</v>
      </c>
      <c r="M484" s="3">
        <v>9647.2199999999993</v>
      </c>
      <c r="N484" s="3">
        <v>125095.11474519315</v>
      </c>
      <c r="O484" s="3">
        <f t="shared" si="8"/>
        <v>1.0337338317152407</v>
      </c>
      <c r="P484" s="3">
        <v>14702.723999999998</v>
      </c>
      <c r="Q484" s="3">
        <v>1080</v>
      </c>
      <c r="R484" s="3">
        <v>63869.146745193146</v>
      </c>
      <c r="S484" s="3">
        <v>3191.82</v>
      </c>
      <c r="T484" s="3">
        <v>22855.547999999999</v>
      </c>
      <c r="U484" s="3">
        <v>1164.4079999999999</v>
      </c>
      <c r="V484" s="3">
        <v>18231.468000000001</v>
      </c>
      <c r="W484" s="3">
        <v>0</v>
      </c>
      <c r="X484" s="3">
        <v>-115447.89474519313</v>
      </c>
      <c r="Y484" s="3">
        <v>0</v>
      </c>
      <c r="Z484" s="3">
        <v>0</v>
      </c>
      <c r="AA484" s="3">
        <v>0</v>
      </c>
      <c r="AB484" s="3">
        <v>13304.581100812602</v>
      </c>
      <c r="AC484" s="3">
        <v>2743.2</v>
      </c>
      <c r="AD484" s="3">
        <v>10561.381100812599</v>
      </c>
      <c r="AE484" s="3">
        <v>-104886.51364438055</v>
      </c>
      <c r="AF484" s="3">
        <v>0</v>
      </c>
      <c r="AG484" s="3">
        <v>-104886.51364438055</v>
      </c>
      <c r="AH484" s="3">
        <v>-104886.51364438055</v>
      </c>
      <c r="AI484" s="3">
        <v>36000000</v>
      </c>
      <c r="AJ484" s="3">
        <v>0</v>
      </c>
    </row>
    <row r="485" spans="1:36" x14ac:dyDescent="0.2">
      <c r="A485" s="3" t="s">
        <v>75</v>
      </c>
      <c r="B485" s="3" t="s">
        <v>101</v>
      </c>
      <c r="C485" s="3" t="s">
        <v>102</v>
      </c>
      <c r="D485" s="3">
        <v>1</v>
      </c>
      <c r="E485" s="3">
        <v>2022</v>
      </c>
      <c r="F485" s="3">
        <v>1</v>
      </c>
      <c r="G485" s="3" t="s">
        <v>39</v>
      </c>
      <c r="H485" s="3" t="s">
        <v>46</v>
      </c>
      <c r="I485" s="5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 t="e">
        <f t="shared" si="8"/>
        <v>#DIV/0!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</row>
    <row r="486" spans="1:36" x14ac:dyDescent="0.2">
      <c r="A486" s="3" t="s">
        <v>75</v>
      </c>
      <c r="B486" s="3" t="s">
        <v>101</v>
      </c>
      <c r="C486" s="3" t="s">
        <v>102</v>
      </c>
      <c r="D486" s="3">
        <v>2</v>
      </c>
      <c r="E486" s="3">
        <v>2022</v>
      </c>
      <c r="F486" s="3">
        <v>1</v>
      </c>
      <c r="G486" s="3" t="s">
        <v>42</v>
      </c>
      <c r="H486" s="3" t="s">
        <v>46</v>
      </c>
      <c r="I486" s="5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 t="e">
        <f t="shared" si="8"/>
        <v>#DIV/0!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</row>
    <row r="487" spans="1:36" x14ac:dyDescent="0.2">
      <c r="A487" s="3" t="s">
        <v>75</v>
      </c>
      <c r="B487" s="3" t="s">
        <v>101</v>
      </c>
      <c r="C487" s="3" t="s">
        <v>102</v>
      </c>
      <c r="D487" s="3">
        <v>2</v>
      </c>
      <c r="E487" s="3">
        <v>2022</v>
      </c>
      <c r="F487" s="3">
        <v>1</v>
      </c>
      <c r="G487" s="3" t="s">
        <v>39</v>
      </c>
      <c r="H487" s="3" t="s">
        <v>46</v>
      </c>
      <c r="I487" s="5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 t="e">
        <f t="shared" si="8"/>
        <v>#DIV/0!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</row>
    <row r="488" spans="1:36" x14ac:dyDescent="0.2">
      <c r="A488" s="3" t="s">
        <v>75</v>
      </c>
      <c r="B488" s="3" t="s">
        <v>101</v>
      </c>
      <c r="C488" s="3" t="s">
        <v>102</v>
      </c>
      <c r="D488" s="3">
        <v>3</v>
      </c>
      <c r="E488" s="3">
        <v>2022</v>
      </c>
      <c r="F488" s="3">
        <v>1</v>
      </c>
      <c r="G488" s="3" t="s">
        <v>42</v>
      </c>
      <c r="H488" s="3" t="s">
        <v>46</v>
      </c>
      <c r="I488" s="5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 t="e">
        <f t="shared" si="8"/>
        <v>#DIV/0!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</row>
    <row r="489" spans="1:36" x14ac:dyDescent="0.2">
      <c r="A489" s="3" t="s">
        <v>75</v>
      </c>
      <c r="B489" s="3" t="s">
        <v>101</v>
      </c>
      <c r="C489" s="3" t="s">
        <v>102</v>
      </c>
      <c r="D489" s="3">
        <v>3</v>
      </c>
      <c r="E489" s="3">
        <v>2022</v>
      </c>
      <c r="F489" s="3">
        <v>1</v>
      </c>
      <c r="G489" s="3" t="s">
        <v>39</v>
      </c>
      <c r="H489" s="3" t="s">
        <v>46</v>
      </c>
      <c r="I489" s="5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 t="e">
        <f t="shared" si="8"/>
        <v>#DIV/0!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</row>
    <row r="490" spans="1:36" x14ac:dyDescent="0.2">
      <c r="A490" s="3" t="s">
        <v>75</v>
      </c>
      <c r="B490" s="3" t="s">
        <v>101</v>
      </c>
      <c r="C490" s="3" t="s">
        <v>102</v>
      </c>
      <c r="D490" s="3">
        <v>2</v>
      </c>
      <c r="E490" s="3">
        <v>2022</v>
      </c>
      <c r="F490" s="3">
        <v>1</v>
      </c>
      <c r="G490" s="3" t="s">
        <v>48</v>
      </c>
      <c r="H490" s="3" t="s">
        <v>46</v>
      </c>
      <c r="I490" s="5">
        <v>58800</v>
      </c>
      <c r="J490" s="3">
        <v>0</v>
      </c>
      <c r="K490" s="3">
        <v>58800</v>
      </c>
      <c r="L490" s="3">
        <v>41268.911999999997</v>
      </c>
      <c r="M490" s="3">
        <v>17531.088</v>
      </c>
      <c r="N490" s="3">
        <v>1187085.3280000002</v>
      </c>
      <c r="O490" s="3">
        <f t="shared" si="8"/>
        <v>2018.8525986394563</v>
      </c>
      <c r="P490" s="3">
        <v>444466</v>
      </c>
      <c r="Q490" s="3">
        <v>242853.21600000001</v>
      </c>
      <c r="R490" s="3">
        <v>407101.66400000011</v>
      </c>
      <c r="S490" s="3">
        <v>13965.264000000003</v>
      </c>
      <c r="T490" s="3">
        <v>13578.096000000001</v>
      </c>
      <c r="U490" s="3">
        <v>2918.3999999999996</v>
      </c>
      <c r="V490" s="3">
        <v>62202.688000000009</v>
      </c>
      <c r="W490" s="3">
        <v>0</v>
      </c>
      <c r="X490" s="3">
        <v>-1169554.24</v>
      </c>
      <c r="Y490" s="3">
        <v>117.392</v>
      </c>
      <c r="Z490" s="3">
        <v>146417.48800000001</v>
      </c>
      <c r="AA490" s="3">
        <v>-146300.09600000002</v>
      </c>
      <c r="AB490" s="3">
        <v>0</v>
      </c>
      <c r="AC490" s="3">
        <v>0</v>
      </c>
      <c r="AD490" s="3">
        <v>0</v>
      </c>
      <c r="AE490" s="3">
        <v>-1315854.3360000001</v>
      </c>
      <c r="AF490" s="3">
        <v>0</v>
      </c>
      <c r="AG490" s="3">
        <v>-1315854.3360000001</v>
      </c>
      <c r="AH490" s="3">
        <v>-1315854.3360000001</v>
      </c>
      <c r="AI490" s="3">
        <v>1440000</v>
      </c>
      <c r="AJ490" s="3">
        <v>0</v>
      </c>
    </row>
    <row r="491" spans="1:36" x14ac:dyDescent="0.2">
      <c r="A491" s="3" t="s">
        <v>75</v>
      </c>
      <c r="B491" s="3" t="s">
        <v>101</v>
      </c>
      <c r="C491" s="3" t="s">
        <v>102</v>
      </c>
      <c r="D491" s="3">
        <v>1</v>
      </c>
      <c r="E491" s="3">
        <v>2022</v>
      </c>
      <c r="F491" s="3">
        <v>1</v>
      </c>
      <c r="G491" s="3" t="s">
        <v>42</v>
      </c>
      <c r="H491" s="3" t="s">
        <v>46</v>
      </c>
      <c r="I491" s="5">
        <v>63072</v>
      </c>
      <c r="J491" s="3">
        <v>0</v>
      </c>
      <c r="K491" s="3">
        <v>63072</v>
      </c>
      <c r="L491" s="3">
        <v>37843.200000000004</v>
      </c>
      <c r="M491" s="3">
        <v>25228.800000000003</v>
      </c>
      <c r="N491" s="3">
        <v>0</v>
      </c>
      <c r="O491" s="3">
        <f t="shared" si="8"/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25228.800000000003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25228.800000000003</v>
      </c>
      <c r="AF491" s="3">
        <v>0</v>
      </c>
      <c r="AG491" s="3">
        <v>25228.800000000003</v>
      </c>
      <c r="AH491" s="3">
        <v>25228.800000000003</v>
      </c>
      <c r="AI491" s="3">
        <v>0</v>
      </c>
      <c r="AJ491" s="3">
        <v>0</v>
      </c>
    </row>
    <row r="492" spans="1:36" x14ac:dyDescent="0.2">
      <c r="A492" s="3" t="s">
        <v>75</v>
      </c>
      <c r="B492" s="3" t="s">
        <v>101</v>
      </c>
      <c r="C492" s="3" t="s">
        <v>102</v>
      </c>
      <c r="D492" s="3">
        <v>3</v>
      </c>
      <c r="E492" s="3">
        <v>2022</v>
      </c>
      <c r="F492" s="3">
        <v>1</v>
      </c>
      <c r="G492" s="3" t="s">
        <v>48</v>
      </c>
      <c r="H492" s="3" t="s">
        <v>46</v>
      </c>
      <c r="I492" s="5">
        <v>842556</v>
      </c>
      <c r="J492" s="3">
        <v>10206.950000000001</v>
      </c>
      <c r="K492" s="3">
        <v>832349.05</v>
      </c>
      <c r="L492" s="3">
        <v>472635.74800000002</v>
      </c>
      <c r="M492" s="3">
        <v>359713.30200000003</v>
      </c>
      <c r="N492" s="3">
        <v>987152.62100000004</v>
      </c>
      <c r="O492" s="3">
        <f t="shared" si="8"/>
        <v>118.59839582924975</v>
      </c>
      <c r="P492" s="3">
        <v>361128.625</v>
      </c>
      <c r="Q492" s="3">
        <v>198339.674</v>
      </c>
      <c r="R492" s="3">
        <v>309846.26400000002</v>
      </c>
      <c r="S492" s="3">
        <v>13533.351000000001</v>
      </c>
      <c r="T492" s="3">
        <v>10580.856000000002</v>
      </c>
      <c r="U492" s="3">
        <v>32524.83</v>
      </c>
      <c r="V492" s="3">
        <v>61199.021000000001</v>
      </c>
      <c r="W492" s="3">
        <v>0</v>
      </c>
      <c r="X492" s="3">
        <v>-627439.3189999999</v>
      </c>
      <c r="Y492" s="3">
        <v>79.611999999999995</v>
      </c>
      <c r="Z492" s="3">
        <v>112489.637</v>
      </c>
      <c r="AA492" s="3">
        <v>-112410.02500000001</v>
      </c>
      <c r="AB492" s="3">
        <v>0</v>
      </c>
      <c r="AC492" s="3">
        <v>0</v>
      </c>
      <c r="AD492" s="3">
        <v>0</v>
      </c>
      <c r="AE492" s="3">
        <v>-739849.34400000016</v>
      </c>
      <c r="AF492" s="3">
        <v>0</v>
      </c>
      <c r="AG492" s="3">
        <v>-739849.34400000016</v>
      </c>
      <c r="AH492" s="3">
        <v>-739849.34400000016</v>
      </c>
      <c r="AI492" s="3">
        <v>1170000</v>
      </c>
      <c r="AJ492" s="3">
        <v>0</v>
      </c>
    </row>
    <row r="493" spans="1:36" x14ac:dyDescent="0.2">
      <c r="A493" s="3" t="s">
        <v>75</v>
      </c>
      <c r="B493" s="3" t="s">
        <v>101</v>
      </c>
      <c r="C493" s="3" t="s">
        <v>102</v>
      </c>
      <c r="D493" s="3">
        <v>1</v>
      </c>
      <c r="E493" s="3">
        <v>2022</v>
      </c>
      <c r="F493" s="3">
        <v>1</v>
      </c>
      <c r="G493" s="3" t="s">
        <v>48</v>
      </c>
      <c r="H493" s="3" t="s">
        <v>46</v>
      </c>
      <c r="I493" s="5">
        <v>1525412</v>
      </c>
      <c r="J493" s="3">
        <v>0</v>
      </c>
      <c r="K493" s="3">
        <v>1525412</v>
      </c>
      <c r="L493" s="3">
        <v>789182.576</v>
      </c>
      <c r="M493" s="3">
        <v>736229.42399999988</v>
      </c>
      <c r="N493" s="3">
        <v>2187531.892</v>
      </c>
      <c r="O493" s="3">
        <f t="shared" si="8"/>
        <v>143.4059711081334</v>
      </c>
      <c r="P493" s="3">
        <v>777815.5</v>
      </c>
      <c r="Q493" s="3">
        <v>424993.12800000003</v>
      </c>
      <c r="R493" s="3">
        <v>743659.30799999996</v>
      </c>
      <c r="S493" s="3">
        <v>34287.231999999996</v>
      </c>
      <c r="T493" s="3">
        <v>0</v>
      </c>
      <c r="U493" s="3">
        <v>91145.152000000002</v>
      </c>
      <c r="V493" s="3">
        <v>115631.572</v>
      </c>
      <c r="W493" s="3">
        <v>0</v>
      </c>
      <c r="X493" s="3">
        <v>-1451302.4679999999</v>
      </c>
      <c r="Y493" s="3">
        <v>236.57199999999995</v>
      </c>
      <c r="Z493" s="3">
        <v>246249.75200000001</v>
      </c>
      <c r="AA493" s="3">
        <v>-246013.18</v>
      </c>
      <c r="AB493" s="3">
        <v>0</v>
      </c>
      <c r="AC493" s="3">
        <v>0</v>
      </c>
      <c r="AD493" s="3">
        <v>0</v>
      </c>
      <c r="AE493" s="3">
        <v>-1697315.648</v>
      </c>
      <c r="AF493" s="3">
        <v>0</v>
      </c>
      <c r="AG493" s="3">
        <v>-1697315.648</v>
      </c>
      <c r="AH493" s="3">
        <v>-1697315.648</v>
      </c>
      <c r="AI493" s="3">
        <v>2519999.9999999995</v>
      </c>
      <c r="AJ493" s="3">
        <v>0</v>
      </c>
    </row>
    <row r="494" spans="1:36" x14ac:dyDescent="0.2">
      <c r="A494" s="3" t="s">
        <v>36</v>
      </c>
      <c r="B494" s="3" t="s">
        <v>37</v>
      </c>
      <c r="C494" s="3" t="s">
        <v>38</v>
      </c>
      <c r="D494" s="3">
        <v>3</v>
      </c>
      <c r="E494" s="3">
        <v>2023</v>
      </c>
      <c r="F494" s="3">
        <v>1</v>
      </c>
      <c r="G494" s="3" t="s">
        <v>39</v>
      </c>
      <c r="H494" s="3" t="s">
        <v>40</v>
      </c>
      <c r="I494" s="5">
        <v>86587955818.675003</v>
      </c>
      <c r="J494" s="3">
        <v>0</v>
      </c>
      <c r="K494" s="3">
        <v>86587955818.675003</v>
      </c>
      <c r="L494" s="3">
        <v>86499030801.975006</v>
      </c>
      <c r="M494" s="3">
        <v>88925016.700000003</v>
      </c>
      <c r="N494" s="3">
        <v>22046964.478559423</v>
      </c>
      <c r="O494" s="3">
        <f t="shared" si="8"/>
        <v>2.5461929745435111E-2</v>
      </c>
      <c r="P494" s="3">
        <v>1066626.99</v>
      </c>
      <c r="Q494" s="3">
        <v>256234.375</v>
      </c>
      <c r="R494" s="3">
        <v>8027783.9348557694</v>
      </c>
      <c r="S494" s="3">
        <v>5766682.5581211671</v>
      </c>
      <c r="T494" s="3">
        <v>1485800.3005824871</v>
      </c>
      <c r="U494" s="3">
        <v>4098586.67</v>
      </c>
      <c r="V494" s="3">
        <v>1345249.65</v>
      </c>
      <c r="W494" s="3">
        <v>0</v>
      </c>
      <c r="X494" s="3">
        <v>66878052.221440583</v>
      </c>
      <c r="Y494" s="3">
        <v>31727763.324999999</v>
      </c>
      <c r="Z494" s="3">
        <v>32638233.638337471</v>
      </c>
      <c r="AA494" s="3">
        <v>-910470.31333746912</v>
      </c>
      <c r="AB494" s="3">
        <v>13349225</v>
      </c>
      <c r="AC494" s="3">
        <v>15553450</v>
      </c>
      <c r="AD494" s="3">
        <v>-2204225</v>
      </c>
      <c r="AE494" s="3">
        <v>63763356.908103108</v>
      </c>
      <c r="AF494" s="3">
        <v>0</v>
      </c>
      <c r="AG494" s="3">
        <v>63763356.908103108</v>
      </c>
      <c r="AH494" s="3">
        <v>63763356.908103108</v>
      </c>
      <c r="AI494" s="3">
        <v>86587955818.675003</v>
      </c>
      <c r="AJ494" s="3">
        <v>62500000</v>
      </c>
    </row>
    <row r="495" spans="1:36" x14ac:dyDescent="0.2">
      <c r="A495" s="3" t="s">
        <v>36</v>
      </c>
      <c r="B495" s="3" t="s">
        <v>37</v>
      </c>
      <c r="C495" s="3" t="s">
        <v>38</v>
      </c>
      <c r="D495" s="3">
        <v>1</v>
      </c>
      <c r="E495" s="3">
        <v>2023</v>
      </c>
      <c r="F495" s="3">
        <v>1</v>
      </c>
      <c r="G495" s="3" t="s">
        <v>39</v>
      </c>
      <c r="H495" s="3" t="s">
        <v>40</v>
      </c>
      <c r="I495" s="5">
        <v>92873659591.459991</v>
      </c>
      <c r="J495" s="3">
        <v>0</v>
      </c>
      <c r="K495" s="3">
        <v>92873659591.459991</v>
      </c>
      <c r="L495" s="3">
        <v>92734548430.897995</v>
      </c>
      <c r="M495" s="3">
        <v>139111160.56200001</v>
      </c>
      <c r="N495" s="3">
        <v>42015694.423632741</v>
      </c>
      <c r="O495" s="3">
        <f t="shared" si="8"/>
        <v>4.5239624031673462E-2</v>
      </c>
      <c r="P495" s="3">
        <v>938631.75120000006</v>
      </c>
      <c r="Q495" s="3">
        <v>225486.25</v>
      </c>
      <c r="R495" s="3">
        <v>5794701.2317403918</v>
      </c>
      <c r="S495" s="3">
        <v>17938872.651146628</v>
      </c>
      <c r="T495" s="3">
        <v>1744568.7913457232</v>
      </c>
      <c r="U495" s="3">
        <v>13911116.056200001</v>
      </c>
      <c r="V495" s="3">
        <v>1462317.692</v>
      </c>
      <c r="W495" s="3">
        <v>0</v>
      </c>
      <c r="X495" s="3">
        <v>97095466.138367236</v>
      </c>
      <c r="Y495" s="3">
        <v>28736206.065545663</v>
      </c>
      <c r="Z495" s="3">
        <v>60014618.393403657</v>
      </c>
      <c r="AA495" s="3">
        <v>-31278412.327857986</v>
      </c>
      <c r="AB495" s="3">
        <v>1613964</v>
      </c>
      <c r="AC495" s="3">
        <v>0</v>
      </c>
      <c r="AD495" s="3">
        <v>1613964</v>
      </c>
      <c r="AE495" s="3">
        <v>67431017.810509264</v>
      </c>
      <c r="AF495" s="3">
        <v>0</v>
      </c>
      <c r="AG495" s="3">
        <v>67431017.810509264</v>
      </c>
      <c r="AH495" s="3">
        <v>67431017.810509264</v>
      </c>
      <c r="AI495" s="3">
        <v>192799309591.45999</v>
      </c>
      <c r="AJ495" s="3">
        <v>66000000.000000007</v>
      </c>
    </row>
    <row r="496" spans="1:36" x14ac:dyDescent="0.2">
      <c r="A496" s="3" t="s">
        <v>36</v>
      </c>
      <c r="B496" s="3" t="s">
        <v>37</v>
      </c>
      <c r="C496" s="3" t="s">
        <v>38</v>
      </c>
      <c r="D496" s="3">
        <v>2</v>
      </c>
      <c r="E496" s="3">
        <v>2023</v>
      </c>
      <c r="F496" s="3">
        <v>1</v>
      </c>
      <c r="G496" s="3" t="s">
        <v>39</v>
      </c>
      <c r="H496" s="3" t="s">
        <v>40</v>
      </c>
      <c r="I496" s="5">
        <v>128295837547.5</v>
      </c>
      <c r="J496" s="3">
        <v>0</v>
      </c>
      <c r="K496" s="3">
        <v>128295837547.5</v>
      </c>
      <c r="L496" s="3">
        <v>128183822372.39999</v>
      </c>
      <c r="M496" s="3">
        <v>112015175.09999999</v>
      </c>
      <c r="N496" s="3">
        <v>22267524.610583298</v>
      </c>
      <c r="O496" s="3">
        <f t="shared" si="8"/>
        <v>1.7356388980538057E-2</v>
      </c>
      <c r="P496" s="3">
        <v>853301.59200000006</v>
      </c>
      <c r="Q496" s="3">
        <v>204987.5</v>
      </c>
      <c r="R496" s="3">
        <v>4908032.0016203709</v>
      </c>
      <c r="S496" s="3">
        <v>3109186.0464969324</v>
      </c>
      <c r="T496" s="3">
        <v>1188640.2404659898</v>
      </c>
      <c r="U496" s="3">
        <v>11201517.51</v>
      </c>
      <c r="V496" s="3">
        <v>801859.72</v>
      </c>
      <c r="W496" s="3">
        <v>0</v>
      </c>
      <c r="X496" s="3">
        <v>89747650.489416704</v>
      </c>
      <c r="Y496" s="3">
        <v>25382210.66</v>
      </c>
      <c r="Z496" s="3">
        <v>24433566.910669975</v>
      </c>
      <c r="AA496" s="3">
        <v>948643.7493300247</v>
      </c>
      <c r="AB496" s="3">
        <v>1079020</v>
      </c>
      <c r="AC496" s="3">
        <v>264400</v>
      </c>
      <c r="AD496" s="3">
        <v>814620</v>
      </c>
      <c r="AE496" s="3">
        <v>91510914.238746732</v>
      </c>
      <c r="AF496" s="3">
        <v>0</v>
      </c>
      <c r="AG496" s="3">
        <v>91510914.238746732</v>
      </c>
      <c r="AH496" s="3">
        <v>91510914.238746732</v>
      </c>
      <c r="AI496" s="3">
        <v>128295837547.5</v>
      </c>
      <c r="AJ496" s="3">
        <v>90000000</v>
      </c>
    </row>
    <row r="497" spans="1:36" x14ac:dyDescent="0.2">
      <c r="A497" s="3" t="s">
        <v>36</v>
      </c>
      <c r="B497" s="3" t="s">
        <v>37</v>
      </c>
      <c r="C497" s="3" t="s">
        <v>41</v>
      </c>
      <c r="D497" s="3">
        <v>3</v>
      </c>
      <c r="E497" s="3">
        <v>2023</v>
      </c>
      <c r="F497" s="3">
        <v>1</v>
      </c>
      <c r="G497" s="3" t="s">
        <v>43</v>
      </c>
      <c r="H497" s="3" t="s">
        <v>40</v>
      </c>
      <c r="I497" s="5">
        <v>3102400</v>
      </c>
      <c r="J497" s="3">
        <v>0</v>
      </c>
      <c r="K497" s="3">
        <v>3102400</v>
      </c>
      <c r="L497" s="3">
        <v>2184000</v>
      </c>
      <c r="M497" s="3">
        <v>918400</v>
      </c>
      <c r="N497" s="3">
        <v>0</v>
      </c>
      <c r="O497" s="3">
        <f t="shared" si="8"/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918400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918400</v>
      </c>
      <c r="AF497" s="3">
        <v>0</v>
      </c>
      <c r="AG497" s="3">
        <v>918400</v>
      </c>
      <c r="AH497" s="3">
        <v>918400</v>
      </c>
      <c r="AI497" s="3">
        <v>0</v>
      </c>
      <c r="AJ497" s="3">
        <v>1400000</v>
      </c>
    </row>
    <row r="498" spans="1:36" x14ac:dyDescent="0.2">
      <c r="A498" s="3" t="s">
        <v>36</v>
      </c>
      <c r="B498" s="3" t="s">
        <v>37</v>
      </c>
      <c r="C498" s="3" t="s">
        <v>41</v>
      </c>
      <c r="D498" s="3">
        <v>3</v>
      </c>
      <c r="E498" s="3">
        <v>2023</v>
      </c>
      <c r="F498" s="3">
        <v>1</v>
      </c>
      <c r="G498" s="3" t="s">
        <v>42</v>
      </c>
      <c r="H498" s="3" t="s">
        <v>40</v>
      </c>
      <c r="I498" s="5">
        <v>10552366</v>
      </c>
      <c r="J498" s="3">
        <v>1477652</v>
      </c>
      <c r="K498" s="3">
        <v>9074714.0000000019</v>
      </c>
      <c r="L498" s="3">
        <v>4183951.9780477388</v>
      </c>
      <c r="M498" s="3">
        <v>4890762.0219522621</v>
      </c>
      <c r="N498" s="3">
        <v>4032789.6025878694</v>
      </c>
      <c r="O498" s="3">
        <f t="shared" si="8"/>
        <v>44.439853449793219</v>
      </c>
      <c r="P498" s="3">
        <v>255174.03568800003</v>
      </c>
      <c r="Q498" s="3">
        <v>652190.00000000012</v>
      </c>
      <c r="R498" s="3">
        <v>1924498.9605769236</v>
      </c>
      <c r="S498" s="3">
        <v>583007.4033229457</v>
      </c>
      <c r="T498" s="3">
        <v>0</v>
      </c>
      <c r="U498" s="3">
        <v>525156.20299999998</v>
      </c>
      <c r="V498" s="3">
        <v>92763</v>
      </c>
      <c r="W498" s="3">
        <v>0</v>
      </c>
      <c r="X498" s="3">
        <v>857972.41936439299</v>
      </c>
      <c r="Y498" s="3">
        <v>891307.65678031254</v>
      </c>
      <c r="Z498" s="3">
        <v>1127753.899350222</v>
      </c>
      <c r="AA498" s="3">
        <v>-236446.24256990949</v>
      </c>
      <c r="AB498" s="3">
        <v>4610938.9689008929</v>
      </c>
      <c r="AC498" s="3">
        <v>0</v>
      </c>
      <c r="AD498" s="3">
        <v>4610938.9689008929</v>
      </c>
      <c r="AE498" s="3">
        <v>5232465.1456953771</v>
      </c>
      <c r="AF498" s="3">
        <v>0</v>
      </c>
      <c r="AG498" s="3">
        <v>5232465.1456953771</v>
      </c>
      <c r="AH498" s="3">
        <v>3477968.4016953763</v>
      </c>
      <c r="AI498" s="3">
        <v>9900000.0000000019</v>
      </c>
      <c r="AJ498" s="3">
        <v>2750000</v>
      </c>
    </row>
    <row r="499" spans="1:36" x14ac:dyDescent="0.2">
      <c r="A499" s="3" t="s">
        <v>36</v>
      </c>
      <c r="B499" s="3" t="s">
        <v>37</v>
      </c>
      <c r="C499" s="3" t="s">
        <v>41</v>
      </c>
      <c r="D499" s="3">
        <v>2</v>
      </c>
      <c r="E499" s="3">
        <v>2023</v>
      </c>
      <c r="F499" s="3">
        <v>1</v>
      </c>
      <c r="G499" s="3" t="s">
        <v>43</v>
      </c>
      <c r="H499" s="3" t="s">
        <v>40</v>
      </c>
      <c r="I499" s="5">
        <v>34504398.618800007</v>
      </c>
      <c r="J499" s="3">
        <v>0</v>
      </c>
      <c r="K499" s="3">
        <v>34504398.618800007</v>
      </c>
      <c r="L499" s="3">
        <v>33755175.784000002</v>
      </c>
      <c r="M499" s="3">
        <v>749222.83480000217</v>
      </c>
      <c r="N499" s="3">
        <v>0</v>
      </c>
      <c r="O499" s="3">
        <f t="shared" si="8"/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749222.83480000217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749222.83480000217</v>
      </c>
      <c r="AF499" s="3">
        <v>0</v>
      </c>
      <c r="AG499" s="3">
        <v>749222.83480000217</v>
      </c>
      <c r="AH499" s="3">
        <v>749222.83480000217</v>
      </c>
      <c r="AI499" s="3">
        <v>0</v>
      </c>
      <c r="AJ499" s="3">
        <v>660000.00000000012</v>
      </c>
    </row>
    <row r="500" spans="1:36" x14ac:dyDescent="0.2">
      <c r="A500" s="3" t="s">
        <v>36</v>
      </c>
      <c r="B500" s="3" t="s">
        <v>37</v>
      </c>
      <c r="C500" s="3" t="s">
        <v>41</v>
      </c>
      <c r="D500" s="3">
        <v>2</v>
      </c>
      <c r="E500" s="3">
        <v>2023</v>
      </c>
      <c r="F500" s="3">
        <v>1</v>
      </c>
      <c r="G500" s="3" t="s">
        <v>42</v>
      </c>
      <c r="H500" s="3" t="s">
        <v>40</v>
      </c>
      <c r="I500" s="5">
        <v>59509152</v>
      </c>
      <c r="J500" s="3">
        <v>11705570.316000002</v>
      </c>
      <c r="K500" s="3">
        <v>47803581.684000008</v>
      </c>
      <c r="L500" s="3">
        <v>26180712.406503014</v>
      </c>
      <c r="M500" s="3">
        <v>21622869.277496986</v>
      </c>
      <c r="N500" s="3">
        <v>18171700.032161288</v>
      </c>
      <c r="O500" s="3">
        <f t="shared" si="8"/>
        <v>38.013260496427208</v>
      </c>
      <c r="P500" s="3">
        <v>417557.51294399996</v>
      </c>
      <c r="Q500" s="3">
        <v>1067220</v>
      </c>
      <c r="R500" s="3">
        <v>3149180.1173076928</v>
      </c>
      <c r="S500" s="3">
        <v>1517450.257909596</v>
      </c>
      <c r="T500" s="3">
        <v>0</v>
      </c>
      <c r="U500" s="3">
        <v>2284887.0240000002</v>
      </c>
      <c r="V500" s="3">
        <v>9735405.1199999992</v>
      </c>
      <c r="W500" s="3">
        <v>0</v>
      </c>
      <c r="X500" s="3">
        <v>3451169.2453356967</v>
      </c>
      <c r="Y500" s="3">
        <v>1450978.5998283694</v>
      </c>
      <c r="Z500" s="3">
        <v>1666826.8776319996</v>
      </c>
      <c r="AA500" s="3">
        <v>-215848.27780363036</v>
      </c>
      <c r="AB500" s="3">
        <v>18075506.365558166</v>
      </c>
      <c r="AC500" s="3">
        <v>0</v>
      </c>
      <c r="AD500" s="3">
        <v>18075506.365558166</v>
      </c>
      <c r="AE500" s="3">
        <v>21310827.333090231</v>
      </c>
      <c r="AF500" s="3">
        <v>0</v>
      </c>
      <c r="AG500" s="3">
        <v>21310827.333090231</v>
      </c>
      <c r="AH500" s="3">
        <v>19656593.313090228</v>
      </c>
      <c r="AI500" s="3">
        <v>48870000</v>
      </c>
      <c r="AJ500" s="3">
        <v>18720000</v>
      </c>
    </row>
    <row r="501" spans="1:36" x14ac:dyDescent="0.2">
      <c r="A501" s="3" t="s">
        <v>36</v>
      </c>
      <c r="B501" s="3" t="s">
        <v>37</v>
      </c>
      <c r="C501" s="3" t="s">
        <v>41</v>
      </c>
      <c r="D501" s="3">
        <v>1</v>
      </c>
      <c r="E501" s="3">
        <v>2023</v>
      </c>
      <c r="F501" s="3">
        <v>1</v>
      </c>
      <c r="G501" s="3" t="s">
        <v>42</v>
      </c>
      <c r="H501" s="3" t="s">
        <v>40</v>
      </c>
      <c r="I501" s="5">
        <v>76483464</v>
      </c>
      <c r="J501" s="3">
        <v>1469386.28</v>
      </c>
      <c r="K501" s="3">
        <v>75014077.719999984</v>
      </c>
      <c r="L501" s="3">
        <v>26347079.676746786</v>
      </c>
      <c r="M501" s="3">
        <v>48666998.043253198</v>
      </c>
      <c r="N501" s="3">
        <v>22651294.967123028</v>
      </c>
      <c r="O501" s="3">
        <f t="shared" si="8"/>
        <v>30.196058734031229</v>
      </c>
      <c r="P501" s="3">
        <v>431181</v>
      </c>
      <c r="Q501" s="3">
        <v>767381.06199999992</v>
      </c>
      <c r="R501" s="3">
        <v>4109393.5019230768</v>
      </c>
      <c r="S501" s="3">
        <v>4641486.9151999522</v>
      </c>
      <c r="T501" s="3">
        <v>0</v>
      </c>
      <c r="U501" s="3">
        <v>5465882.9779999992</v>
      </c>
      <c r="V501" s="3">
        <v>7235969.5099999998</v>
      </c>
      <c r="W501" s="3">
        <v>0</v>
      </c>
      <c r="X501" s="3">
        <v>26015703.076130174</v>
      </c>
      <c r="Y501" s="3">
        <v>2004990.897068932</v>
      </c>
      <c r="Z501" s="3">
        <v>2358030.8804595545</v>
      </c>
      <c r="AA501" s="3">
        <v>-353039.98339062254</v>
      </c>
      <c r="AB501" s="3">
        <v>20927637.868424714</v>
      </c>
      <c r="AC501" s="3">
        <v>0</v>
      </c>
      <c r="AD501" s="3">
        <v>20927637.868424714</v>
      </c>
      <c r="AE501" s="3">
        <v>46590300.961164266</v>
      </c>
      <c r="AF501" s="3">
        <v>0</v>
      </c>
      <c r="AG501" s="3">
        <v>46590300.961164266</v>
      </c>
      <c r="AH501" s="3">
        <v>40554707.730164267</v>
      </c>
      <c r="AI501" s="3">
        <v>83374999.999999985</v>
      </c>
      <c r="AJ501" s="3">
        <v>43700000</v>
      </c>
    </row>
    <row r="502" spans="1:36" x14ac:dyDescent="0.2">
      <c r="A502" s="3" t="s">
        <v>36</v>
      </c>
      <c r="B502" s="3" t="s">
        <v>37</v>
      </c>
      <c r="C502" s="3" t="s">
        <v>41</v>
      </c>
      <c r="D502" s="3">
        <v>1</v>
      </c>
      <c r="E502" s="3">
        <v>2023</v>
      </c>
      <c r="F502" s="3">
        <v>1</v>
      </c>
      <c r="G502" s="3" t="s">
        <v>43</v>
      </c>
      <c r="H502" s="3" t="s">
        <v>40</v>
      </c>
      <c r="I502" s="5">
        <v>216685296.35199997</v>
      </c>
      <c r="J502" s="3">
        <v>0</v>
      </c>
      <c r="K502" s="3">
        <v>216685296.35199997</v>
      </c>
      <c r="L502" s="3">
        <v>209390892.47999999</v>
      </c>
      <c r="M502" s="3">
        <v>7294403.8719999986</v>
      </c>
      <c r="N502" s="3">
        <v>0</v>
      </c>
      <c r="O502" s="3">
        <f t="shared" si="8"/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7294403.8719999986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7294403.8719999986</v>
      </c>
      <c r="AF502" s="3">
        <v>0</v>
      </c>
      <c r="AG502" s="3">
        <v>7294403.8719999986</v>
      </c>
      <c r="AH502" s="3">
        <v>7294403.8719999986</v>
      </c>
      <c r="AI502" s="3">
        <v>0</v>
      </c>
      <c r="AJ502" s="3">
        <v>7000000</v>
      </c>
    </row>
    <row r="503" spans="1:36" x14ac:dyDescent="0.2">
      <c r="A503" s="3" t="s">
        <v>36</v>
      </c>
      <c r="B503" s="3" t="s">
        <v>37</v>
      </c>
      <c r="C503" s="3" t="s">
        <v>44</v>
      </c>
      <c r="D503" s="3">
        <v>3</v>
      </c>
      <c r="E503" s="3">
        <v>2023</v>
      </c>
      <c r="F503" s="3">
        <v>1</v>
      </c>
      <c r="G503" s="3" t="s">
        <v>42</v>
      </c>
      <c r="H503" s="3" t="s">
        <v>40</v>
      </c>
      <c r="I503" s="5">
        <v>83743</v>
      </c>
      <c r="J503" s="3">
        <v>12561.45</v>
      </c>
      <c r="K503" s="3">
        <v>71181.549999999988</v>
      </c>
      <c r="L503" s="3">
        <v>39101.149999999994</v>
      </c>
      <c r="M503" s="3">
        <v>32080.399999999994</v>
      </c>
      <c r="N503" s="3">
        <v>0</v>
      </c>
      <c r="O503" s="3">
        <f t="shared" si="8"/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32080.399999999994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32080.399999999994</v>
      </c>
      <c r="AF503" s="3">
        <v>0</v>
      </c>
      <c r="AG503" s="3">
        <v>32080.399999999994</v>
      </c>
      <c r="AH503" s="3">
        <v>32080.399999999994</v>
      </c>
      <c r="AI503" s="3">
        <v>1149999.9999999998</v>
      </c>
      <c r="AJ503" s="3">
        <v>0</v>
      </c>
    </row>
    <row r="504" spans="1:36" x14ac:dyDescent="0.2">
      <c r="A504" s="3" t="s">
        <v>36</v>
      </c>
      <c r="B504" s="3" t="s">
        <v>37</v>
      </c>
      <c r="C504" s="3" t="s">
        <v>44</v>
      </c>
      <c r="D504" s="3">
        <v>2</v>
      </c>
      <c r="E504" s="3">
        <v>2023</v>
      </c>
      <c r="F504" s="3">
        <v>1</v>
      </c>
      <c r="G504" s="3" t="s">
        <v>42</v>
      </c>
      <c r="H504" s="3" t="s">
        <v>40</v>
      </c>
      <c r="I504" s="5">
        <v>1270320</v>
      </c>
      <c r="J504" s="3">
        <v>245268</v>
      </c>
      <c r="K504" s="3">
        <v>1025052</v>
      </c>
      <c r="L504" s="3">
        <v>698676</v>
      </c>
      <c r="M504" s="3">
        <v>326376</v>
      </c>
      <c r="N504" s="3">
        <v>0</v>
      </c>
      <c r="O504" s="3">
        <f t="shared" si="8"/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326376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326376</v>
      </c>
      <c r="AF504" s="3">
        <v>0</v>
      </c>
      <c r="AG504" s="3">
        <v>326376</v>
      </c>
      <c r="AH504" s="3">
        <v>326376</v>
      </c>
      <c r="AI504" s="3">
        <v>1200000</v>
      </c>
      <c r="AJ504" s="3">
        <v>0</v>
      </c>
    </row>
    <row r="505" spans="1:36" x14ac:dyDescent="0.2">
      <c r="A505" s="3" t="s">
        <v>36</v>
      </c>
      <c r="B505" s="3" t="s">
        <v>37</v>
      </c>
      <c r="C505" s="3" t="s">
        <v>44</v>
      </c>
      <c r="D505" s="3">
        <v>1</v>
      </c>
      <c r="E505" s="3">
        <v>2023</v>
      </c>
      <c r="F505" s="3">
        <v>1</v>
      </c>
      <c r="G505" s="3" t="s">
        <v>42</v>
      </c>
      <c r="H505" s="3" t="s">
        <v>40</v>
      </c>
      <c r="I505" s="5">
        <v>5582860</v>
      </c>
      <c r="J505" s="3">
        <v>847859</v>
      </c>
      <c r="K505" s="3">
        <v>4735001</v>
      </c>
      <c r="L505" s="3">
        <v>3063473</v>
      </c>
      <c r="M505" s="3">
        <v>1671528</v>
      </c>
      <c r="N505" s="3">
        <v>0</v>
      </c>
      <c r="O505" s="3">
        <f t="shared" si="8"/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1671528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1671528</v>
      </c>
      <c r="AF505" s="3">
        <v>0</v>
      </c>
      <c r="AG505" s="3">
        <v>1671528</v>
      </c>
      <c r="AH505" s="3">
        <v>1671528</v>
      </c>
      <c r="AI505" s="3">
        <v>3000000</v>
      </c>
      <c r="AJ505" s="3">
        <v>0</v>
      </c>
    </row>
    <row r="506" spans="1:36" x14ac:dyDescent="0.2">
      <c r="A506" s="3" t="s">
        <v>36</v>
      </c>
      <c r="B506" s="3" t="s">
        <v>37</v>
      </c>
      <c r="C506" s="3" t="s">
        <v>44</v>
      </c>
      <c r="D506" s="3">
        <v>2</v>
      </c>
      <c r="E506" s="3">
        <v>2023</v>
      </c>
      <c r="F506" s="3">
        <v>1</v>
      </c>
      <c r="G506" s="3" t="s">
        <v>39</v>
      </c>
      <c r="H506" s="3" t="s">
        <v>40</v>
      </c>
      <c r="I506" s="5">
        <v>68976228</v>
      </c>
      <c r="J506" s="3">
        <v>0</v>
      </c>
      <c r="K506" s="3">
        <v>68976228</v>
      </c>
      <c r="L506" s="3">
        <v>68958108</v>
      </c>
      <c r="M506" s="3">
        <v>18120</v>
      </c>
      <c r="N506" s="3">
        <v>0</v>
      </c>
      <c r="O506" s="3">
        <f t="shared" si="8"/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18120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18120</v>
      </c>
      <c r="AF506" s="3">
        <v>0</v>
      </c>
      <c r="AG506" s="3">
        <v>18120</v>
      </c>
      <c r="AH506" s="3">
        <v>18120</v>
      </c>
      <c r="AI506" s="3">
        <v>68976228</v>
      </c>
      <c r="AJ506" s="3">
        <v>0</v>
      </c>
    </row>
    <row r="507" spans="1:36" x14ac:dyDescent="0.2">
      <c r="A507" s="3" t="s">
        <v>36</v>
      </c>
      <c r="B507" s="3" t="s">
        <v>37</v>
      </c>
      <c r="C507" s="3" t="s">
        <v>44</v>
      </c>
      <c r="D507" s="3">
        <v>3</v>
      </c>
      <c r="E507" s="3">
        <v>2023</v>
      </c>
      <c r="F507" s="3">
        <v>1</v>
      </c>
      <c r="G507" s="3" t="s">
        <v>39</v>
      </c>
      <c r="H507" s="3" t="s">
        <v>40</v>
      </c>
      <c r="I507" s="5">
        <v>150861062</v>
      </c>
      <c r="J507" s="3">
        <v>0</v>
      </c>
      <c r="K507" s="3">
        <v>150861062</v>
      </c>
      <c r="L507" s="3">
        <v>150229574.00000003</v>
      </c>
      <c r="M507" s="3">
        <v>631488.00000000012</v>
      </c>
      <c r="N507" s="3">
        <v>0</v>
      </c>
      <c r="O507" s="3">
        <f t="shared" si="8"/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631488.00000000012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631488.00000000012</v>
      </c>
      <c r="AF507" s="3">
        <v>0</v>
      </c>
      <c r="AG507" s="3">
        <v>631488.00000000012</v>
      </c>
      <c r="AH507" s="3">
        <v>631488.00000000012</v>
      </c>
      <c r="AI507" s="3">
        <v>150861062</v>
      </c>
      <c r="AJ507" s="3">
        <v>0</v>
      </c>
    </row>
    <row r="508" spans="1:36" x14ac:dyDescent="0.2">
      <c r="A508" s="3" t="s">
        <v>36</v>
      </c>
      <c r="B508" s="3" t="s">
        <v>37</v>
      </c>
      <c r="C508" s="3" t="s">
        <v>44</v>
      </c>
      <c r="D508" s="3">
        <v>1</v>
      </c>
      <c r="E508" s="3">
        <v>2023</v>
      </c>
      <c r="F508" s="3">
        <v>1</v>
      </c>
      <c r="G508" s="3" t="s">
        <v>39</v>
      </c>
      <c r="H508" s="3" t="s">
        <v>40</v>
      </c>
      <c r="I508" s="5">
        <v>237865446</v>
      </c>
      <c r="J508" s="3">
        <v>0</v>
      </c>
      <c r="K508" s="3">
        <v>237865446</v>
      </c>
      <c r="L508" s="3">
        <v>237258187</v>
      </c>
      <c r="M508" s="3">
        <v>607259</v>
      </c>
      <c r="N508" s="3">
        <v>0</v>
      </c>
      <c r="O508" s="3">
        <f t="shared" si="8"/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607259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607259</v>
      </c>
      <c r="AF508" s="3">
        <v>0</v>
      </c>
      <c r="AG508" s="3">
        <v>607259</v>
      </c>
      <c r="AH508" s="3">
        <v>607259</v>
      </c>
      <c r="AI508" s="3">
        <v>237865446</v>
      </c>
      <c r="AJ508" s="3">
        <v>0</v>
      </c>
    </row>
    <row r="509" spans="1:36" x14ac:dyDescent="0.2">
      <c r="A509" s="3" t="s">
        <v>36</v>
      </c>
      <c r="B509" s="3" t="s">
        <v>37</v>
      </c>
      <c r="C509" s="3" t="s">
        <v>45</v>
      </c>
      <c r="D509" s="3">
        <v>1</v>
      </c>
      <c r="E509" s="3">
        <v>2023</v>
      </c>
      <c r="F509" s="3">
        <v>1</v>
      </c>
      <c r="G509" s="3" t="s">
        <v>42</v>
      </c>
      <c r="H509" s="3" t="s">
        <v>46</v>
      </c>
      <c r="I509" s="5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</row>
    <row r="510" spans="1:36" x14ac:dyDescent="0.2">
      <c r="A510" s="3" t="s">
        <v>36</v>
      </c>
      <c r="B510" s="3" t="s">
        <v>37</v>
      </c>
      <c r="C510" s="3" t="s">
        <v>45</v>
      </c>
      <c r="D510" s="3">
        <v>2</v>
      </c>
      <c r="E510" s="3">
        <v>2023</v>
      </c>
      <c r="F510" s="3">
        <v>1</v>
      </c>
      <c r="G510" s="3" t="s">
        <v>42</v>
      </c>
      <c r="H510" s="3" t="s">
        <v>46</v>
      </c>
      <c r="I510" s="5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</row>
    <row r="511" spans="1:36" x14ac:dyDescent="0.2">
      <c r="A511" s="3" t="s">
        <v>36</v>
      </c>
      <c r="B511" s="3" t="s">
        <v>37</v>
      </c>
      <c r="C511" s="3" t="s">
        <v>45</v>
      </c>
      <c r="D511" s="3">
        <v>3</v>
      </c>
      <c r="E511" s="3">
        <v>2023</v>
      </c>
      <c r="F511" s="3">
        <v>1</v>
      </c>
      <c r="G511" s="3" t="s">
        <v>42</v>
      </c>
      <c r="H511" s="3" t="s">
        <v>46</v>
      </c>
      <c r="I511" s="5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</row>
    <row r="512" spans="1:36" x14ac:dyDescent="0.2">
      <c r="A512" s="3" t="s">
        <v>36</v>
      </c>
      <c r="B512" s="3" t="s">
        <v>37</v>
      </c>
      <c r="C512" s="3" t="s">
        <v>47</v>
      </c>
      <c r="D512" s="3">
        <v>3</v>
      </c>
      <c r="E512" s="3">
        <v>2023</v>
      </c>
      <c r="F512" s="3">
        <v>1</v>
      </c>
      <c r="G512" s="3" t="s">
        <v>42</v>
      </c>
      <c r="H512" s="3" t="s">
        <v>46</v>
      </c>
      <c r="I512" s="5">
        <v>895272</v>
      </c>
      <c r="J512" s="3">
        <v>149712</v>
      </c>
      <c r="K512" s="3">
        <v>745560</v>
      </c>
      <c r="L512" s="3">
        <v>537163.19999999995</v>
      </c>
      <c r="M512" s="3">
        <v>208396.79999999999</v>
      </c>
      <c r="N512" s="3">
        <v>409582.10331891675</v>
      </c>
      <c r="O512" s="3">
        <f t="shared" ref="O512:O575" si="9">N512/K512*100</f>
        <v>54.936169231036637</v>
      </c>
      <c r="P512" s="3">
        <v>80959.991999999998</v>
      </c>
      <c r="Q512" s="3">
        <v>0</v>
      </c>
      <c r="R512" s="3">
        <v>118866.04649516309</v>
      </c>
      <c r="S512" s="3">
        <v>178235.47282375369</v>
      </c>
      <c r="T512" s="3">
        <v>0</v>
      </c>
      <c r="U512" s="3">
        <v>20839.68</v>
      </c>
      <c r="V512" s="3">
        <v>10680.911999999998</v>
      </c>
      <c r="W512" s="3">
        <v>0</v>
      </c>
      <c r="X512" s="3">
        <v>-201185.30331891673</v>
      </c>
      <c r="Y512" s="3">
        <v>0</v>
      </c>
      <c r="Z512" s="3">
        <v>34282.956012905037</v>
      </c>
      <c r="AA512" s="3">
        <v>-34282.956012905037</v>
      </c>
      <c r="AB512" s="3">
        <v>0</v>
      </c>
      <c r="AC512" s="3">
        <v>0</v>
      </c>
      <c r="AD512" s="3">
        <v>0</v>
      </c>
      <c r="AE512" s="3">
        <v>-235468.25933182178</v>
      </c>
      <c r="AF512" s="3">
        <v>0</v>
      </c>
      <c r="AG512" s="3">
        <v>-235468.25933182178</v>
      </c>
      <c r="AH512" s="3">
        <v>-235468.25933182178</v>
      </c>
      <c r="AI512" s="3">
        <v>480000</v>
      </c>
      <c r="AJ512" s="3">
        <v>4800</v>
      </c>
    </row>
    <row r="513" spans="1:36" x14ac:dyDescent="0.2">
      <c r="A513" s="3" t="s">
        <v>36</v>
      </c>
      <c r="B513" s="3" t="s">
        <v>37</v>
      </c>
      <c r="C513" s="3" t="s">
        <v>47</v>
      </c>
      <c r="D513" s="3">
        <v>1</v>
      </c>
      <c r="E513" s="3">
        <v>2023</v>
      </c>
      <c r="F513" s="3">
        <v>1</v>
      </c>
      <c r="G513" s="3" t="s">
        <v>42</v>
      </c>
      <c r="H513" s="3" t="s">
        <v>46</v>
      </c>
      <c r="I513" s="5">
        <v>1103088</v>
      </c>
      <c r="J513" s="3">
        <v>0</v>
      </c>
      <c r="K513" s="3">
        <v>1103088</v>
      </c>
      <c r="L513" s="3">
        <v>661852.80000000005</v>
      </c>
      <c r="M513" s="3">
        <v>441235.19999999995</v>
      </c>
      <c r="N513" s="3">
        <v>507855.86564386147</v>
      </c>
      <c r="O513" s="3">
        <f t="shared" si="9"/>
        <v>46.039469710835533</v>
      </c>
      <c r="P513" s="3">
        <v>70839.993000000002</v>
      </c>
      <c r="Q513" s="3">
        <v>0</v>
      </c>
      <c r="R513" s="3">
        <v>105472.70192307695</v>
      </c>
      <c r="S513" s="3">
        <v>26773.278720784496</v>
      </c>
      <c r="T513" s="3">
        <v>0</v>
      </c>
      <c r="U513" s="3">
        <v>44123.519999999997</v>
      </c>
      <c r="V513" s="3">
        <v>260646.372</v>
      </c>
      <c r="W513" s="3">
        <v>0</v>
      </c>
      <c r="X513" s="3">
        <v>-66620.665643861415</v>
      </c>
      <c r="Y513" s="3">
        <v>0</v>
      </c>
      <c r="Z513" s="3">
        <v>31537.914624834411</v>
      </c>
      <c r="AA513" s="3">
        <v>-31537.914624834411</v>
      </c>
      <c r="AB513" s="3">
        <v>0</v>
      </c>
      <c r="AC513" s="3">
        <v>0</v>
      </c>
      <c r="AD513" s="3">
        <v>0</v>
      </c>
      <c r="AE513" s="3">
        <v>-98158.58026869582</v>
      </c>
      <c r="AF513" s="3">
        <v>0</v>
      </c>
      <c r="AG513" s="3">
        <v>-98158.58026869582</v>
      </c>
      <c r="AH513" s="3">
        <v>-98158.58026869582</v>
      </c>
      <c r="AI513" s="3">
        <v>945000</v>
      </c>
      <c r="AJ513" s="3">
        <v>9450</v>
      </c>
    </row>
    <row r="514" spans="1:36" x14ac:dyDescent="0.2">
      <c r="A514" s="3" t="s">
        <v>36</v>
      </c>
      <c r="B514" s="3" t="s">
        <v>37</v>
      </c>
      <c r="C514" s="3" t="s">
        <v>47</v>
      </c>
      <c r="D514" s="3">
        <v>3</v>
      </c>
      <c r="E514" s="3">
        <v>2023</v>
      </c>
      <c r="F514" s="3">
        <v>1</v>
      </c>
      <c r="G514" s="3" t="s">
        <v>48</v>
      </c>
      <c r="H514" s="3" t="s">
        <v>46</v>
      </c>
      <c r="I514" s="5">
        <v>3695580</v>
      </c>
      <c r="J514" s="3">
        <v>208406</v>
      </c>
      <c r="K514" s="3">
        <v>3487174</v>
      </c>
      <c r="L514" s="3">
        <v>2393544.86</v>
      </c>
      <c r="M514" s="3">
        <v>1093629.1400000001</v>
      </c>
      <c r="N514" s="3">
        <v>1863303.9827436311</v>
      </c>
      <c r="O514" s="3">
        <f t="shared" si="9"/>
        <v>53.433065936590232</v>
      </c>
      <c r="P514" s="3">
        <v>674666.65999999992</v>
      </c>
      <c r="Q514" s="3">
        <v>146301.02680223293</v>
      </c>
      <c r="R514" s="3">
        <v>699348.33827527729</v>
      </c>
      <c r="S514" s="3">
        <v>69147.591961425962</v>
      </c>
      <c r="T514" s="3">
        <v>111805.98857744176</v>
      </c>
      <c r="U514" s="3">
        <v>94230.051199045847</v>
      </c>
      <c r="V514" s="3">
        <v>67804.325928207312</v>
      </c>
      <c r="W514" s="3">
        <v>0</v>
      </c>
      <c r="X514" s="3">
        <v>-769674.84274363099</v>
      </c>
      <c r="Y514" s="3">
        <v>0</v>
      </c>
      <c r="Z514" s="3">
        <v>163791.53377148908</v>
      </c>
      <c r="AA514" s="3">
        <v>-163791.53377148908</v>
      </c>
      <c r="AB514" s="3">
        <v>0</v>
      </c>
      <c r="AC514" s="3">
        <v>33615.663534321895</v>
      </c>
      <c r="AD514" s="3">
        <v>-33615.663534321895</v>
      </c>
      <c r="AE514" s="3">
        <v>-967082.04004944197</v>
      </c>
      <c r="AF514" s="3">
        <v>0</v>
      </c>
      <c r="AG514" s="3">
        <v>-967082.04004944197</v>
      </c>
      <c r="AH514" s="3">
        <v>-967082.04004944197</v>
      </c>
      <c r="AI514" s="3">
        <v>6000000</v>
      </c>
      <c r="AJ514" s="3">
        <v>0</v>
      </c>
    </row>
    <row r="515" spans="1:36" x14ac:dyDescent="0.2">
      <c r="A515" s="3" t="s">
        <v>36</v>
      </c>
      <c r="B515" s="3" t="s">
        <v>37</v>
      </c>
      <c r="C515" s="3" t="s">
        <v>47</v>
      </c>
      <c r="D515" s="3">
        <v>2</v>
      </c>
      <c r="E515" s="3">
        <v>2023</v>
      </c>
      <c r="F515" s="3">
        <v>1</v>
      </c>
      <c r="G515" s="3" t="s">
        <v>42</v>
      </c>
      <c r="H515" s="3" t="s">
        <v>46</v>
      </c>
      <c r="I515" s="5">
        <v>3868992</v>
      </c>
      <c r="J515" s="3">
        <v>176088.6</v>
      </c>
      <c r="K515" s="3">
        <v>3692903.4000000004</v>
      </c>
      <c r="L515" s="3">
        <v>2337595.2000000002</v>
      </c>
      <c r="M515" s="3">
        <v>1355308.2000000002</v>
      </c>
      <c r="N515" s="3">
        <v>447784.25700364605</v>
      </c>
      <c r="O515" s="3">
        <f t="shared" si="9"/>
        <v>12.125533990508552</v>
      </c>
      <c r="P515" s="3">
        <v>91079.991000000009</v>
      </c>
      <c r="Q515" s="3">
        <v>0</v>
      </c>
      <c r="R515" s="3">
        <v>124825.67307692309</v>
      </c>
      <c r="S515" s="3">
        <v>86782.536926722911</v>
      </c>
      <c r="T515" s="3">
        <v>0</v>
      </c>
      <c r="U515" s="3">
        <v>135530.82</v>
      </c>
      <c r="V515" s="3">
        <v>9565.2360000000008</v>
      </c>
      <c r="W515" s="3">
        <v>0</v>
      </c>
      <c r="X515" s="3">
        <v>907523.94299635419</v>
      </c>
      <c r="Y515" s="3">
        <v>0</v>
      </c>
      <c r="Z515" s="3">
        <v>40548.747374787097</v>
      </c>
      <c r="AA515" s="3">
        <v>-40548.747374787097</v>
      </c>
      <c r="AB515" s="3">
        <v>0</v>
      </c>
      <c r="AC515" s="3">
        <v>0</v>
      </c>
      <c r="AD515" s="3">
        <v>0</v>
      </c>
      <c r="AE515" s="3">
        <v>866975.19562156696</v>
      </c>
      <c r="AF515" s="3">
        <v>0</v>
      </c>
      <c r="AG515" s="3">
        <v>866975.19562156696</v>
      </c>
      <c r="AH515" s="3">
        <v>866975.19562156696</v>
      </c>
      <c r="AI515" s="3">
        <v>6750000</v>
      </c>
      <c r="AJ515" s="3">
        <v>67500</v>
      </c>
    </row>
    <row r="516" spans="1:36" x14ac:dyDescent="0.2">
      <c r="A516" s="3" t="s">
        <v>36</v>
      </c>
      <c r="B516" s="3" t="s">
        <v>37</v>
      </c>
      <c r="C516" s="3" t="s">
        <v>47</v>
      </c>
      <c r="D516" s="3">
        <v>1</v>
      </c>
      <c r="E516" s="3">
        <v>2023</v>
      </c>
      <c r="F516" s="3">
        <v>1</v>
      </c>
      <c r="G516" s="3" t="s">
        <v>48</v>
      </c>
      <c r="H516" s="3" t="s">
        <v>46</v>
      </c>
      <c r="I516" s="5">
        <v>4209656</v>
      </c>
      <c r="J516" s="3">
        <v>0</v>
      </c>
      <c r="K516" s="3">
        <v>4209656</v>
      </c>
      <c r="L516" s="3">
        <v>2708187.3059999999</v>
      </c>
      <c r="M516" s="3">
        <v>1501468.6939999999</v>
      </c>
      <c r="N516" s="3">
        <v>1937375.5719891817</v>
      </c>
      <c r="O516" s="3">
        <f t="shared" si="9"/>
        <v>46.022182619890593</v>
      </c>
      <c r="P516" s="3">
        <v>742133.32600000012</v>
      </c>
      <c r="Q516" s="3">
        <v>160931.12948245622</v>
      </c>
      <c r="R516" s="3">
        <v>614067.65372199693</v>
      </c>
      <c r="S516" s="3">
        <v>125812.98750935546</v>
      </c>
      <c r="T516" s="3">
        <v>27413.953304069637</v>
      </c>
      <c r="U516" s="3">
        <v>133857.35753811267</v>
      </c>
      <c r="V516" s="3">
        <v>133159.16443319072</v>
      </c>
      <c r="W516" s="3">
        <v>0</v>
      </c>
      <c r="X516" s="3">
        <v>-435906.87798918143</v>
      </c>
      <c r="Y516" s="3">
        <v>0</v>
      </c>
      <c r="Z516" s="3">
        <v>188331.76843809319</v>
      </c>
      <c r="AA516" s="3">
        <v>-188331.76843809319</v>
      </c>
      <c r="AB516" s="3">
        <v>0</v>
      </c>
      <c r="AC516" s="3">
        <v>29961.606727225768</v>
      </c>
      <c r="AD516" s="3">
        <v>-29961.606727225768</v>
      </c>
      <c r="AE516" s="3">
        <v>-654200.2531545005</v>
      </c>
      <c r="AF516" s="3">
        <v>0</v>
      </c>
      <c r="AG516" s="3">
        <v>-654200.2531545005</v>
      </c>
      <c r="AH516" s="3">
        <v>-654200.2531545005</v>
      </c>
      <c r="AI516" s="3">
        <v>6600000</v>
      </c>
      <c r="AJ516" s="3">
        <v>0</v>
      </c>
    </row>
    <row r="517" spans="1:36" x14ac:dyDescent="0.2">
      <c r="A517" s="3" t="s">
        <v>36</v>
      </c>
      <c r="B517" s="3" t="s">
        <v>37</v>
      </c>
      <c r="C517" s="3" t="s">
        <v>47</v>
      </c>
      <c r="D517" s="3">
        <v>2</v>
      </c>
      <c r="E517" s="3">
        <v>2023</v>
      </c>
      <c r="F517" s="3">
        <v>1</v>
      </c>
      <c r="G517" s="3" t="s">
        <v>48</v>
      </c>
      <c r="H517" s="3" t="s">
        <v>46</v>
      </c>
      <c r="I517" s="5">
        <v>7771860.9999999981</v>
      </c>
      <c r="J517" s="3">
        <v>219375.84</v>
      </c>
      <c r="K517" s="3">
        <v>7552485.1599999992</v>
      </c>
      <c r="L517" s="3">
        <v>4907071.4359999998</v>
      </c>
      <c r="M517" s="3">
        <v>2645413.7239999999</v>
      </c>
      <c r="N517" s="3">
        <v>2295669.3753858758</v>
      </c>
      <c r="O517" s="3">
        <f t="shared" si="9"/>
        <v>30.39621166744373</v>
      </c>
      <c r="P517" s="3">
        <v>775866.65899999999</v>
      </c>
      <c r="Q517" s="3">
        <v>168246.18082256784</v>
      </c>
      <c r="R517" s="3">
        <v>832506.32226216863</v>
      </c>
      <c r="S517" s="3">
        <v>139267.53793750567</v>
      </c>
      <c r="T517" s="3">
        <v>80049.292923547429</v>
      </c>
      <c r="U517" s="3">
        <v>171064.46002441394</v>
      </c>
      <c r="V517" s="3">
        <v>128668.92241567302</v>
      </c>
      <c r="W517" s="3">
        <v>0</v>
      </c>
      <c r="X517" s="3">
        <v>349744.34861412377</v>
      </c>
      <c r="Y517" s="3">
        <v>0</v>
      </c>
      <c r="Z517" s="3">
        <v>194868.79819122591</v>
      </c>
      <c r="AA517" s="3">
        <v>-194868.79819122591</v>
      </c>
      <c r="AB517" s="3">
        <v>0</v>
      </c>
      <c r="AC517" s="3">
        <v>45003.625628743044</v>
      </c>
      <c r="AD517" s="3">
        <v>-45003.625628743044</v>
      </c>
      <c r="AE517" s="3">
        <v>109871.92479415478</v>
      </c>
      <c r="AF517" s="3">
        <v>0</v>
      </c>
      <c r="AG517" s="3">
        <v>109871.92479415478</v>
      </c>
      <c r="AH517" s="3">
        <v>109871.92479415478</v>
      </c>
      <c r="AI517" s="3">
        <v>9199999.9999999981</v>
      </c>
      <c r="AJ517" s="3">
        <v>46000</v>
      </c>
    </row>
    <row r="518" spans="1:36" x14ac:dyDescent="0.2">
      <c r="A518" s="3" t="s">
        <v>36</v>
      </c>
      <c r="B518" s="3" t="s">
        <v>37</v>
      </c>
      <c r="C518" s="3" t="s">
        <v>47</v>
      </c>
      <c r="D518" s="3">
        <v>1</v>
      </c>
      <c r="E518" s="3">
        <v>2023</v>
      </c>
      <c r="F518" s="3">
        <v>1</v>
      </c>
      <c r="G518" s="3" t="s">
        <v>39</v>
      </c>
      <c r="H518" s="3" t="s">
        <v>46</v>
      </c>
      <c r="I518" s="5">
        <v>1102114026.7067597</v>
      </c>
      <c r="J518" s="3">
        <v>0</v>
      </c>
      <c r="K518" s="3">
        <v>1102114026.7067597</v>
      </c>
      <c r="L518" s="3">
        <v>1099771022.6809423</v>
      </c>
      <c r="M518" s="3">
        <v>2343004.0258174436</v>
      </c>
      <c r="N518" s="3">
        <v>1425640.7589257243</v>
      </c>
      <c r="O518" s="3">
        <f t="shared" si="9"/>
        <v>0.12935510522315904</v>
      </c>
      <c r="P518" s="3">
        <v>218592</v>
      </c>
      <c r="Q518" s="3">
        <v>12587.328</v>
      </c>
      <c r="R518" s="3">
        <v>739259.42244846327</v>
      </c>
      <c r="S518" s="3">
        <v>141296.24632121343</v>
      </c>
      <c r="T518" s="3">
        <v>49960.679574303227</v>
      </c>
      <c r="U518" s="3">
        <v>234300.40258174439</v>
      </c>
      <c r="V518" s="3">
        <v>29644.68</v>
      </c>
      <c r="W518" s="3">
        <v>0</v>
      </c>
      <c r="X518" s="3">
        <v>917363.26689171942</v>
      </c>
      <c r="Y518" s="3">
        <v>811380.85518847615</v>
      </c>
      <c r="Z518" s="3">
        <v>898364.17760310811</v>
      </c>
      <c r="AA518" s="3">
        <v>-86983.322414631999</v>
      </c>
      <c r="AB518" s="3">
        <v>4800</v>
      </c>
      <c r="AC518" s="3">
        <v>0</v>
      </c>
      <c r="AD518" s="3">
        <v>4800</v>
      </c>
      <c r="AE518" s="3">
        <v>835179.94447708735</v>
      </c>
      <c r="AF518" s="3">
        <v>0</v>
      </c>
      <c r="AG518" s="3">
        <v>835179.94447708735</v>
      </c>
      <c r="AH518" s="3">
        <v>835179.94447708735</v>
      </c>
      <c r="AI518" s="3">
        <v>3094114026.7067599</v>
      </c>
      <c r="AJ518" s="3">
        <v>147421.93847288637</v>
      </c>
    </row>
    <row r="519" spans="1:36" x14ac:dyDescent="0.2">
      <c r="A519" s="3" t="s">
        <v>36</v>
      </c>
      <c r="B519" s="3" t="s">
        <v>37</v>
      </c>
      <c r="C519" s="3" t="s">
        <v>47</v>
      </c>
      <c r="D519" s="3">
        <v>2</v>
      </c>
      <c r="E519" s="3">
        <v>2023</v>
      </c>
      <c r="F519" s="3">
        <v>1</v>
      </c>
      <c r="G519" s="3" t="s">
        <v>39</v>
      </c>
      <c r="H519" s="3" t="s">
        <v>46</v>
      </c>
      <c r="I519" s="5">
        <v>1116613776.936553</v>
      </c>
      <c r="J519" s="3">
        <v>0</v>
      </c>
      <c r="K519" s="3">
        <v>1116613776.936553</v>
      </c>
      <c r="L519" s="3">
        <v>1114729932.7847021</v>
      </c>
      <c r="M519" s="3">
        <v>1883844.1518511963</v>
      </c>
      <c r="N519" s="3">
        <v>787586.00305673492</v>
      </c>
      <c r="O519" s="3">
        <f t="shared" si="9"/>
        <v>7.0533430566967315E-2</v>
      </c>
      <c r="P519" s="3">
        <v>109296</v>
      </c>
      <c r="Q519" s="3">
        <v>16257.768</v>
      </c>
      <c r="R519" s="3">
        <v>389393.05980485171</v>
      </c>
      <c r="S519" s="3">
        <v>43540.123160606701</v>
      </c>
      <c r="T519" s="3">
        <v>30572.008906157065</v>
      </c>
      <c r="U519" s="3">
        <v>188384.41518511961</v>
      </c>
      <c r="V519" s="3">
        <v>10142.628000000001</v>
      </c>
      <c r="W519" s="3">
        <v>0</v>
      </c>
      <c r="X519" s="3">
        <v>1096258.148794461</v>
      </c>
      <c r="Y519" s="3">
        <v>501367.02366439719</v>
      </c>
      <c r="Z519" s="3">
        <v>702368.79375580826</v>
      </c>
      <c r="AA519" s="3">
        <v>-201001.77009141119</v>
      </c>
      <c r="AB519" s="3">
        <v>2880</v>
      </c>
      <c r="AC519" s="3">
        <v>0</v>
      </c>
      <c r="AD519" s="3">
        <v>2880</v>
      </c>
      <c r="AE519" s="3">
        <v>898136.37870305008</v>
      </c>
      <c r="AF519" s="3">
        <v>0</v>
      </c>
      <c r="AG519" s="3">
        <v>898136.37870305008</v>
      </c>
      <c r="AH519" s="3">
        <v>898136.37870305008</v>
      </c>
      <c r="AI519" s="3">
        <v>1116613776.936553</v>
      </c>
      <c r="AJ519" s="3">
        <v>147421.93847288637</v>
      </c>
    </row>
    <row r="520" spans="1:36" x14ac:dyDescent="0.2">
      <c r="A520" s="3" t="s">
        <v>36</v>
      </c>
      <c r="B520" s="3" t="s">
        <v>37</v>
      </c>
      <c r="C520" s="3" t="s">
        <v>47</v>
      </c>
      <c r="D520" s="3">
        <v>3</v>
      </c>
      <c r="E520" s="3">
        <v>2023</v>
      </c>
      <c r="F520" s="3">
        <v>1</v>
      </c>
      <c r="G520" s="3" t="s">
        <v>39</v>
      </c>
      <c r="H520" s="3" t="s">
        <v>46</v>
      </c>
      <c r="I520" s="5">
        <v>3072045032.5207973</v>
      </c>
      <c r="J520" s="3">
        <v>0</v>
      </c>
      <c r="K520" s="3">
        <v>3072045032.5207973</v>
      </c>
      <c r="L520" s="3">
        <v>3068321746.7527275</v>
      </c>
      <c r="M520" s="3">
        <v>3723285.7680695341</v>
      </c>
      <c r="N520" s="3">
        <v>1928477.3578296101</v>
      </c>
      <c r="O520" s="3">
        <f t="shared" si="9"/>
        <v>6.2775035437783885E-2</v>
      </c>
      <c r="P520" s="3">
        <v>245916</v>
      </c>
      <c r="Q520" s="3">
        <v>36579.978000000003</v>
      </c>
      <c r="R520" s="3">
        <v>902167.06498889159</v>
      </c>
      <c r="S520" s="3">
        <v>225837.27711136508</v>
      </c>
      <c r="T520" s="3">
        <v>109600.40992240013</v>
      </c>
      <c r="U520" s="3">
        <v>372328.57680695353</v>
      </c>
      <c r="V520" s="3">
        <v>36048.050999999999</v>
      </c>
      <c r="W520" s="3">
        <v>0</v>
      </c>
      <c r="X520" s="3">
        <v>1794808.4102399242</v>
      </c>
      <c r="Y520" s="3">
        <v>2086179.7509345061</v>
      </c>
      <c r="Z520" s="3">
        <v>2635973.237526827</v>
      </c>
      <c r="AA520" s="3">
        <v>-549793.48659232061</v>
      </c>
      <c r="AB520" s="3">
        <v>675</v>
      </c>
      <c r="AC520" s="3">
        <v>0</v>
      </c>
      <c r="AD520" s="3">
        <v>675</v>
      </c>
      <c r="AE520" s="3">
        <v>1245689.9236476037</v>
      </c>
      <c r="AF520" s="3">
        <v>0</v>
      </c>
      <c r="AG520" s="3">
        <v>1245689.9236476037</v>
      </c>
      <c r="AH520" s="3">
        <v>1245689.9236476037</v>
      </c>
      <c r="AI520" s="3">
        <v>3072045032.5207973</v>
      </c>
      <c r="AJ520" s="3">
        <v>331699.36156399437</v>
      </c>
    </row>
    <row r="521" spans="1:36" x14ac:dyDescent="0.2">
      <c r="A521" s="3" t="s">
        <v>36</v>
      </c>
      <c r="B521" s="3" t="s">
        <v>37</v>
      </c>
      <c r="C521" s="3" t="s">
        <v>49</v>
      </c>
      <c r="D521" s="3">
        <v>3</v>
      </c>
      <c r="E521" s="3">
        <v>2023</v>
      </c>
      <c r="F521" s="3">
        <v>1</v>
      </c>
      <c r="G521" s="3" t="s">
        <v>42</v>
      </c>
      <c r="H521" s="3" t="s">
        <v>46</v>
      </c>
      <c r="I521" s="5">
        <v>115920</v>
      </c>
      <c r="J521" s="3">
        <v>19879.999999999996</v>
      </c>
      <c r="K521" s="3">
        <v>96040</v>
      </c>
      <c r="L521" s="3">
        <v>69552</v>
      </c>
      <c r="M521" s="3">
        <v>26488</v>
      </c>
      <c r="N521" s="3">
        <v>401178.30834710627</v>
      </c>
      <c r="O521" s="3">
        <f t="shared" si="9"/>
        <v>417.72002118607486</v>
      </c>
      <c r="P521" s="3">
        <v>92260</v>
      </c>
      <c r="Q521" s="3">
        <v>4506.2079999999996</v>
      </c>
      <c r="R521" s="3">
        <v>166852.8338404923</v>
      </c>
      <c r="S521" s="3">
        <v>134910.46650661394</v>
      </c>
      <c r="T521" s="3">
        <v>0</v>
      </c>
      <c r="U521" s="3">
        <v>2648.8</v>
      </c>
      <c r="V521" s="3">
        <v>0</v>
      </c>
      <c r="W521" s="3">
        <v>0</v>
      </c>
      <c r="X521" s="3">
        <v>-374690.30834710627</v>
      </c>
      <c r="Y521" s="3">
        <v>0</v>
      </c>
      <c r="Z521" s="3">
        <v>50381.675089294105</v>
      </c>
      <c r="AA521" s="3">
        <v>-50381.675089294105</v>
      </c>
      <c r="AB521" s="3">
        <v>0</v>
      </c>
      <c r="AC521" s="3">
        <v>0</v>
      </c>
      <c r="AD521" s="3">
        <v>0</v>
      </c>
      <c r="AE521" s="3">
        <v>-425071.9834364003</v>
      </c>
      <c r="AF521" s="3">
        <v>0</v>
      </c>
      <c r="AG521" s="3">
        <v>-425071.9834364003</v>
      </c>
      <c r="AH521" s="3">
        <v>-425071.9834364003</v>
      </c>
      <c r="AI521" s="3">
        <v>700000</v>
      </c>
      <c r="AJ521" s="3">
        <v>42000</v>
      </c>
    </row>
    <row r="522" spans="1:36" x14ac:dyDescent="0.2">
      <c r="A522" s="3" t="s">
        <v>36</v>
      </c>
      <c r="B522" s="3" t="s">
        <v>37</v>
      </c>
      <c r="C522" s="3" t="s">
        <v>49</v>
      </c>
      <c r="D522" s="3">
        <v>2</v>
      </c>
      <c r="E522" s="3">
        <v>2023</v>
      </c>
      <c r="F522" s="3">
        <v>1</v>
      </c>
      <c r="G522" s="3" t="s">
        <v>42</v>
      </c>
      <c r="H522" s="3" t="s">
        <v>46</v>
      </c>
      <c r="I522" s="5">
        <v>910470</v>
      </c>
      <c r="J522" s="3">
        <v>2288.0000000000005</v>
      </c>
      <c r="K522" s="3">
        <v>908182</v>
      </c>
      <c r="L522" s="3">
        <v>555742</v>
      </c>
      <c r="M522" s="3">
        <v>352440</v>
      </c>
      <c r="N522" s="3">
        <v>191491.76691331263</v>
      </c>
      <c r="O522" s="3">
        <f t="shared" si="9"/>
        <v>21.085175318748071</v>
      </c>
      <c r="P522" s="3">
        <v>36245.000000000007</v>
      </c>
      <c r="Q522" s="3">
        <v>1770.2960000000003</v>
      </c>
      <c r="R522" s="3">
        <v>80193.437500000015</v>
      </c>
      <c r="S522" s="3">
        <v>30838.290413312625</v>
      </c>
      <c r="T522" s="3">
        <v>0</v>
      </c>
      <c r="U522" s="3">
        <v>35244.000000000007</v>
      </c>
      <c r="V522" s="3">
        <v>7200.7430000000004</v>
      </c>
      <c r="W522" s="3">
        <v>0</v>
      </c>
      <c r="X522" s="3">
        <v>160948.23308668737</v>
      </c>
      <c r="Y522" s="3">
        <v>0</v>
      </c>
      <c r="Z522" s="3">
        <v>20539.060817842153</v>
      </c>
      <c r="AA522" s="3">
        <v>-20539.060817842153</v>
      </c>
      <c r="AB522" s="3">
        <v>0</v>
      </c>
      <c r="AC522" s="3">
        <v>0</v>
      </c>
      <c r="AD522" s="3">
        <v>0</v>
      </c>
      <c r="AE522" s="3">
        <v>140409.17226884523</v>
      </c>
      <c r="AF522" s="3">
        <v>0</v>
      </c>
      <c r="AG522" s="3">
        <v>140409.17226884523</v>
      </c>
      <c r="AH522" s="3">
        <v>140409.17226884523</v>
      </c>
      <c r="AI522" s="3">
        <v>1650000</v>
      </c>
      <c r="AJ522" s="3">
        <v>99000</v>
      </c>
    </row>
    <row r="523" spans="1:36" x14ac:dyDescent="0.2">
      <c r="A523" s="3" t="s">
        <v>36</v>
      </c>
      <c r="B523" s="3" t="s">
        <v>37</v>
      </c>
      <c r="C523" s="3" t="s">
        <v>49</v>
      </c>
      <c r="D523" s="3">
        <v>1</v>
      </c>
      <c r="E523" s="3">
        <v>2023</v>
      </c>
      <c r="F523" s="3">
        <v>1</v>
      </c>
      <c r="G523" s="3" t="s">
        <v>42</v>
      </c>
      <c r="H523" s="3" t="s">
        <v>46</v>
      </c>
      <c r="I523" s="5">
        <v>1098942</v>
      </c>
      <c r="J523" s="3">
        <v>0</v>
      </c>
      <c r="K523" s="3">
        <v>1098942</v>
      </c>
      <c r="L523" s="3">
        <v>659365.20000000007</v>
      </c>
      <c r="M523" s="3">
        <v>439576.8</v>
      </c>
      <c r="N523" s="3">
        <v>403532.09361328441</v>
      </c>
      <c r="O523" s="3">
        <f t="shared" si="9"/>
        <v>36.720053798406504</v>
      </c>
      <c r="P523" s="3">
        <v>85670</v>
      </c>
      <c r="Q523" s="3">
        <v>2530.2939999999999</v>
      </c>
      <c r="R523" s="3">
        <v>182741.52500000002</v>
      </c>
      <c r="S523" s="3">
        <v>82949.90461328438</v>
      </c>
      <c r="T523" s="3">
        <v>0</v>
      </c>
      <c r="U523" s="3">
        <v>43957.68</v>
      </c>
      <c r="V523" s="3">
        <v>5682.6900000000005</v>
      </c>
      <c r="W523" s="3">
        <v>0</v>
      </c>
      <c r="X523" s="3">
        <v>36044.706386715618</v>
      </c>
      <c r="Y523" s="3">
        <v>0</v>
      </c>
      <c r="Z523" s="3">
        <v>48546.871023990549</v>
      </c>
      <c r="AA523" s="3">
        <v>-48546.871023990549</v>
      </c>
      <c r="AB523" s="3">
        <v>0</v>
      </c>
      <c r="AC523" s="3">
        <v>0</v>
      </c>
      <c r="AD523" s="3">
        <v>0</v>
      </c>
      <c r="AE523" s="3">
        <v>-12502.164637274929</v>
      </c>
      <c r="AF523" s="3">
        <v>0</v>
      </c>
      <c r="AG523" s="3">
        <v>-12502.164637274929</v>
      </c>
      <c r="AH523" s="3">
        <v>-12502.164637274929</v>
      </c>
      <c r="AI523" s="3">
        <v>910000</v>
      </c>
      <c r="AJ523" s="3">
        <v>56420</v>
      </c>
    </row>
    <row r="524" spans="1:36" x14ac:dyDescent="0.2">
      <c r="A524" s="3" t="s">
        <v>36</v>
      </c>
      <c r="B524" s="3" t="s">
        <v>37</v>
      </c>
      <c r="C524" s="3" t="s">
        <v>49</v>
      </c>
      <c r="D524" s="3">
        <v>2</v>
      </c>
      <c r="E524" s="3">
        <v>2023</v>
      </c>
      <c r="F524" s="3">
        <v>1</v>
      </c>
      <c r="G524" s="3" t="s">
        <v>48</v>
      </c>
      <c r="H524" s="3" t="s">
        <v>46</v>
      </c>
      <c r="I524" s="5">
        <v>26013089.024</v>
      </c>
      <c r="J524" s="3">
        <v>845224.35400000005</v>
      </c>
      <c r="K524" s="3">
        <v>25167864.670000002</v>
      </c>
      <c r="L524" s="3">
        <v>17701821.969000001</v>
      </c>
      <c r="M524" s="3">
        <v>7466042.7010000013</v>
      </c>
      <c r="N524" s="3">
        <v>2948937.14733527</v>
      </c>
      <c r="O524" s="3">
        <f t="shared" si="9"/>
        <v>11.717073283735475</v>
      </c>
      <c r="P524" s="3">
        <v>556660.16899999999</v>
      </c>
      <c r="Q524" s="3">
        <v>278691.89572437835</v>
      </c>
      <c r="R524" s="3">
        <v>784787.20588223985</v>
      </c>
      <c r="S524" s="3">
        <v>264362.95237583492</v>
      </c>
      <c r="T524" s="3">
        <v>267931.8869867195</v>
      </c>
      <c r="U524" s="3">
        <v>572567.50055843359</v>
      </c>
      <c r="V524" s="3">
        <v>223935.53680766368</v>
      </c>
      <c r="W524" s="3">
        <v>0</v>
      </c>
      <c r="X524" s="3">
        <v>4517105.5536647309</v>
      </c>
      <c r="Y524" s="3">
        <v>0</v>
      </c>
      <c r="Z524" s="3">
        <v>331514.15903483977</v>
      </c>
      <c r="AA524" s="3">
        <v>-331514.15903483977</v>
      </c>
      <c r="AB524" s="3">
        <v>0</v>
      </c>
      <c r="AC524" s="3">
        <v>150631.01615986973</v>
      </c>
      <c r="AD524" s="3">
        <v>-150631.01615986973</v>
      </c>
      <c r="AE524" s="3">
        <v>4034960.3784700208</v>
      </c>
      <c r="AF524" s="3">
        <v>0</v>
      </c>
      <c r="AG524" s="3">
        <v>4034960.3784700208</v>
      </c>
      <c r="AH524" s="3">
        <v>4034960.3784700208</v>
      </c>
      <c r="AI524" s="3">
        <v>19500000</v>
      </c>
      <c r="AJ524" s="3">
        <v>3022500</v>
      </c>
    </row>
    <row r="525" spans="1:36" x14ac:dyDescent="0.2">
      <c r="A525" s="3" t="s">
        <v>36</v>
      </c>
      <c r="B525" s="3" t="s">
        <v>37</v>
      </c>
      <c r="C525" s="3" t="s">
        <v>49</v>
      </c>
      <c r="D525" s="3">
        <v>1</v>
      </c>
      <c r="E525" s="3">
        <v>2023</v>
      </c>
      <c r="F525" s="3">
        <v>1</v>
      </c>
      <c r="G525" s="3" t="s">
        <v>48</v>
      </c>
      <c r="H525" s="3" t="s">
        <v>46</v>
      </c>
      <c r="I525" s="5">
        <v>26619072</v>
      </c>
      <c r="J525" s="3">
        <v>205656</v>
      </c>
      <c r="K525" s="3">
        <v>26413416</v>
      </c>
      <c r="L525" s="3">
        <v>16627055.184</v>
      </c>
      <c r="M525" s="3">
        <v>9786360.8159999996</v>
      </c>
      <c r="N525" s="3">
        <v>4313646.4003684931</v>
      </c>
      <c r="O525" s="3">
        <f t="shared" si="9"/>
        <v>16.331270443658227</v>
      </c>
      <c r="P525" s="3">
        <v>1027680.3119999999</v>
      </c>
      <c r="Q525" s="3">
        <v>514508.11518346769</v>
      </c>
      <c r="R525" s="3">
        <v>1037170.474751859</v>
      </c>
      <c r="S525" s="3">
        <v>435702.84085995657</v>
      </c>
      <c r="T525" s="3">
        <v>173347.65520167624</v>
      </c>
      <c r="U525" s="3">
        <v>846425.13260864164</v>
      </c>
      <c r="V525" s="3">
        <v>278811.86976289202</v>
      </c>
      <c r="W525" s="3">
        <v>0</v>
      </c>
      <c r="X525" s="3">
        <v>5472714.4156315066</v>
      </c>
      <c r="Y525" s="3">
        <v>0</v>
      </c>
      <c r="Z525" s="3">
        <v>535674.82063324144</v>
      </c>
      <c r="AA525" s="3">
        <v>-535674.82063324144</v>
      </c>
      <c r="AB525" s="3">
        <v>0</v>
      </c>
      <c r="AC525" s="3">
        <v>189457.32542224519</v>
      </c>
      <c r="AD525" s="3">
        <v>-189457.32542224519</v>
      </c>
      <c r="AE525" s="3">
        <v>4747582.2695760205</v>
      </c>
      <c r="AF525" s="3">
        <v>0</v>
      </c>
      <c r="AG525" s="3">
        <v>4747582.2695760205</v>
      </c>
      <c r="AH525" s="3">
        <v>4747582.2695760205</v>
      </c>
      <c r="AI525" s="3">
        <v>18720000</v>
      </c>
      <c r="AJ525" s="3">
        <v>936000</v>
      </c>
    </row>
    <row r="526" spans="1:36" x14ac:dyDescent="0.2">
      <c r="A526" s="3" t="s">
        <v>36</v>
      </c>
      <c r="B526" s="3" t="s">
        <v>37</v>
      </c>
      <c r="C526" s="3" t="s">
        <v>49</v>
      </c>
      <c r="D526" s="3">
        <v>3</v>
      </c>
      <c r="E526" s="3">
        <v>2023</v>
      </c>
      <c r="F526" s="3">
        <v>1</v>
      </c>
      <c r="G526" s="3" t="s">
        <v>48</v>
      </c>
      <c r="H526" s="3" t="s">
        <v>46</v>
      </c>
      <c r="I526" s="5">
        <v>46571297</v>
      </c>
      <c r="J526" s="3">
        <v>2677666.8999999994</v>
      </c>
      <c r="K526" s="3">
        <v>43893630.099999994</v>
      </c>
      <c r="L526" s="3">
        <v>31251225.550999999</v>
      </c>
      <c r="M526" s="3">
        <v>12642404.548999999</v>
      </c>
      <c r="N526" s="3">
        <v>6891592.6667846562</v>
      </c>
      <c r="O526" s="3">
        <f t="shared" si="9"/>
        <v>15.700666932955853</v>
      </c>
      <c r="P526" s="3">
        <v>984860.29899999988</v>
      </c>
      <c r="Q526" s="3">
        <v>493070.27705082315</v>
      </c>
      <c r="R526" s="3">
        <v>1839521.9879871502</v>
      </c>
      <c r="S526" s="3">
        <v>687708.19164819107</v>
      </c>
      <c r="T526" s="3">
        <v>1408966.9011139381</v>
      </c>
      <c r="U526" s="3">
        <v>1187476.8509181158</v>
      </c>
      <c r="V526" s="3">
        <v>289988.15906643716</v>
      </c>
      <c r="W526" s="3">
        <v>0</v>
      </c>
      <c r="X526" s="3">
        <v>5750811.8822153434</v>
      </c>
      <c r="Y526" s="3">
        <v>0</v>
      </c>
      <c r="Z526" s="3">
        <v>549956.16055823176</v>
      </c>
      <c r="AA526" s="3">
        <v>-549956.16055823176</v>
      </c>
      <c r="AB526" s="3">
        <v>0</v>
      </c>
      <c r="AC526" s="3">
        <v>423620.93373948737</v>
      </c>
      <c r="AD526" s="3">
        <v>-423620.93373948737</v>
      </c>
      <c r="AE526" s="3">
        <v>4777234.7879176242</v>
      </c>
      <c r="AF526" s="3">
        <v>0</v>
      </c>
      <c r="AG526" s="3">
        <v>4777234.7879176242</v>
      </c>
      <c r="AH526" s="3">
        <v>4777234.7879176242</v>
      </c>
      <c r="AI526" s="3">
        <v>46000000</v>
      </c>
      <c r="AJ526" s="3">
        <v>0</v>
      </c>
    </row>
    <row r="527" spans="1:36" x14ac:dyDescent="0.2">
      <c r="A527" s="3" t="s">
        <v>36</v>
      </c>
      <c r="B527" s="3" t="s">
        <v>37</v>
      </c>
      <c r="C527" s="3" t="s">
        <v>49</v>
      </c>
      <c r="D527" s="3">
        <v>1</v>
      </c>
      <c r="E527" s="3">
        <v>2023</v>
      </c>
      <c r="F527" s="3">
        <v>1</v>
      </c>
      <c r="G527" s="3" t="s">
        <v>39</v>
      </c>
      <c r="H527" s="3" t="s">
        <v>46</v>
      </c>
      <c r="I527" s="5">
        <v>1265279191.7689219</v>
      </c>
      <c r="J527" s="3">
        <v>0</v>
      </c>
      <c r="K527" s="3">
        <v>1265279191.7689219</v>
      </c>
      <c r="L527" s="3">
        <v>1262589311.9849255</v>
      </c>
      <c r="M527" s="3">
        <v>2689879.7839966272</v>
      </c>
      <c r="N527" s="3">
        <v>1458982.4440214382</v>
      </c>
      <c r="O527" s="3">
        <f t="shared" si="9"/>
        <v>0.11530913125835174</v>
      </c>
      <c r="P527" s="3">
        <v>136984.31999999998</v>
      </c>
      <c r="Q527" s="3">
        <v>26223.404000000002</v>
      </c>
      <c r="R527" s="3">
        <v>748002.91419755714</v>
      </c>
      <c r="S527" s="3">
        <v>211368.19091977412</v>
      </c>
      <c r="T527" s="3">
        <v>57357.230504443927</v>
      </c>
      <c r="U527" s="3">
        <v>268987.97839966277</v>
      </c>
      <c r="V527" s="3">
        <v>10058.405999999999</v>
      </c>
      <c r="W527" s="3">
        <v>0</v>
      </c>
      <c r="X527" s="3">
        <v>1230897.3399751894</v>
      </c>
      <c r="Y527" s="3">
        <v>931503.71721274394</v>
      </c>
      <c r="Z527" s="3">
        <v>1031364.6982139816</v>
      </c>
      <c r="AA527" s="3">
        <v>-99860.981001237742</v>
      </c>
      <c r="AB527" s="3">
        <v>690</v>
      </c>
      <c r="AC527" s="3">
        <v>0</v>
      </c>
      <c r="AD527" s="3">
        <v>690</v>
      </c>
      <c r="AE527" s="3">
        <v>1131726.3589739518</v>
      </c>
      <c r="AF527" s="3">
        <v>0</v>
      </c>
      <c r="AG527" s="3">
        <v>1131726.3589739518</v>
      </c>
      <c r="AH527" s="3">
        <v>1131726.3589739518</v>
      </c>
      <c r="AI527" s="3">
        <v>3565279191.7689219</v>
      </c>
      <c r="AJ527" s="3">
        <v>140392.77416080647</v>
      </c>
    </row>
    <row r="528" spans="1:36" x14ac:dyDescent="0.2">
      <c r="A528" s="3" t="s">
        <v>36</v>
      </c>
      <c r="B528" s="3" t="s">
        <v>37</v>
      </c>
      <c r="C528" s="3" t="s">
        <v>49</v>
      </c>
      <c r="D528" s="3">
        <v>3</v>
      </c>
      <c r="E528" s="3">
        <v>2023</v>
      </c>
      <c r="F528" s="3">
        <v>1</v>
      </c>
      <c r="G528" s="3" t="s">
        <v>39</v>
      </c>
      <c r="H528" s="3" t="s">
        <v>46</v>
      </c>
      <c r="I528" s="5">
        <v>2520757766.2606807</v>
      </c>
      <c r="J528" s="3">
        <v>0</v>
      </c>
      <c r="K528" s="3">
        <v>2520757766.2606807</v>
      </c>
      <c r="L528" s="3">
        <v>2517702634.7712288</v>
      </c>
      <c r="M528" s="3">
        <v>3055131.4894521488</v>
      </c>
      <c r="N528" s="3">
        <v>1537660.1288490226</v>
      </c>
      <c r="O528" s="3">
        <f t="shared" si="9"/>
        <v>6.0999916351740707E-2</v>
      </c>
      <c r="P528" s="3">
        <v>154851.84</v>
      </c>
      <c r="Q528" s="3">
        <v>4812.4960000000001</v>
      </c>
      <c r="R528" s="3">
        <v>743872.38601516583</v>
      </c>
      <c r="S528" s="3">
        <v>238677.95495278819</v>
      </c>
      <c r="T528" s="3">
        <v>89932.302935853528</v>
      </c>
      <c r="U528" s="3">
        <v>305513.14894521487</v>
      </c>
      <c r="V528" s="3">
        <v>0</v>
      </c>
      <c r="W528" s="3">
        <v>0</v>
      </c>
      <c r="X528" s="3">
        <v>1517471.360603126</v>
      </c>
      <c r="Y528" s="3">
        <v>1711808.8287491046</v>
      </c>
      <c r="Z528" s="3">
        <v>2162940.3019195744</v>
      </c>
      <c r="AA528" s="3">
        <v>-451131.47317046969</v>
      </c>
      <c r="AB528" s="3">
        <v>0</v>
      </c>
      <c r="AC528" s="3">
        <v>0</v>
      </c>
      <c r="AD528" s="3">
        <v>0</v>
      </c>
      <c r="AE528" s="3">
        <v>1066339.8874326565</v>
      </c>
      <c r="AF528" s="3">
        <v>0</v>
      </c>
      <c r="AG528" s="3">
        <v>1066339.8874326565</v>
      </c>
      <c r="AH528" s="3">
        <v>1066339.8874326565</v>
      </c>
      <c r="AI528" s="3">
        <v>2520757766.2606807</v>
      </c>
      <c r="AJ528" s="3">
        <v>246874.25021513802</v>
      </c>
    </row>
    <row r="529" spans="1:36" x14ac:dyDescent="0.2">
      <c r="A529" s="3" t="s">
        <v>36</v>
      </c>
      <c r="B529" s="3" t="s">
        <v>37</v>
      </c>
      <c r="C529" s="3" t="s">
        <v>49</v>
      </c>
      <c r="D529" s="3">
        <v>2</v>
      </c>
      <c r="E529" s="3">
        <v>2023</v>
      </c>
      <c r="F529" s="3">
        <v>1</v>
      </c>
      <c r="G529" s="3" t="s">
        <v>39</v>
      </c>
      <c r="H529" s="3" t="s">
        <v>46</v>
      </c>
      <c r="I529" s="5">
        <v>3632075032.6912489</v>
      </c>
      <c r="J529" s="3">
        <v>0</v>
      </c>
      <c r="K529" s="3">
        <v>3632075032.6912489</v>
      </c>
      <c r="L529" s="3">
        <v>3625947342.4811277</v>
      </c>
      <c r="M529" s="3">
        <v>6127690.2101211548</v>
      </c>
      <c r="N529" s="3">
        <v>1952289.6846723375</v>
      </c>
      <c r="O529" s="3">
        <f t="shared" si="9"/>
        <v>5.375135885410811E-2</v>
      </c>
      <c r="P529" s="3">
        <v>178675.20000000001</v>
      </c>
      <c r="Q529" s="3">
        <v>5552.88</v>
      </c>
      <c r="R529" s="3">
        <v>868195.33934803668</v>
      </c>
      <c r="S529" s="3">
        <v>150987.64033014025</v>
      </c>
      <c r="T529" s="3">
        <v>99443.363982044917</v>
      </c>
      <c r="U529" s="3">
        <v>612769.02101211553</v>
      </c>
      <c r="V529" s="3">
        <v>36666.239999999998</v>
      </c>
      <c r="W529" s="3">
        <v>0</v>
      </c>
      <c r="X529" s="3">
        <v>4175400.5254488178</v>
      </c>
      <c r="Y529" s="3">
        <v>1630825.8831107456</v>
      </c>
      <c r="Z529" s="3">
        <v>2284636.1134293033</v>
      </c>
      <c r="AA529" s="3">
        <v>-653810.23031855724</v>
      </c>
      <c r="AB529" s="3">
        <v>3600</v>
      </c>
      <c r="AC529" s="3">
        <v>0</v>
      </c>
      <c r="AD529" s="3">
        <v>3600</v>
      </c>
      <c r="AE529" s="3">
        <v>3525190.2951302603</v>
      </c>
      <c r="AF529" s="3">
        <v>0</v>
      </c>
      <c r="AG529" s="3">
        <v>3525190.2951302603</v>
      </c>
      <c r="AH529" s="3">
        <v>3525190.2951302603</v>
      </c>
      <c r="AI529" s="3">
        <v>3632075032.6912489</v>
      </c>
      <c r="AJ529" s="3">
        <v>284854.90409438999</v>
      </c>
    </row>
    <row r="530" spans="1:36" x14ac:dyDescent="0.2">
      <c r="A530" s="3" t="s">
        <v>36</v>
      </c>
      <c r="B530" s="3" t="s">
        <v>37</v>
      </c>
      <c r="C530" s="3" t="s">
        <v>50</v>
      </c>
      <c r="D530" s="3">
        <v>3</v>
      </c>
      <c r="E530" s="3">
        <v>2023</v>
      </c>
      <c r="F530" s="3">
        <v>1</v>
      </c>
      <c r="G530" s="3" t="s">
        <v>42</v>
      </c>
      <c r="H530" s="3" t="s">
        <v>46</v>
      </c>
      <c r="I530" s="5">
        <v>600420</v>
      </c>
      <c r="J530" s="3">
        <v>68200</v>
      </c>
      <c r="K530" s="3">
        <v>532220</v>
      </c>
      <c r="L530" s="3">
        <v>360252</v>
      </c>
      <c r="M530" s="3">
        <v>171968</v>
      </c>
      <c r="N530" s="3">
        <v>429784.405664808</v>
      </c>
      <c r="O530" s="3">
        <f t="shared" si="9"/>
        <v>80.753148259142463</v>
      </c>
      <c r="P530" s="3">
        <v>142222.22</v>
      </c>
      <c r="Q530" s="3">
        <v>506</v>
      </c>
      <c r="R530" s="3">
        <v>119117.70144230771</v>
      </c>
      <c r="S530" s="3">
        <v>140549.82422250029</v>
      </c>
      <c r="T530" s="3">
        <v>0</v>
      </c>
      <c r="U530" s="3">
        <v>17196.8</v>
      </c>
      <c r="V530" s="3">
        <v>10191.86</v>
      </c>
      <c r="W530" s="3">
        <v>0</v>
      </c>
      <c r="X530" s="3">
        <v>-257816.405664808</v>
      </c>
      <c r="Y530" s="3">
        <v>0</v>
      </c>
      <c r="Z530" s="3">
        <v>29986.361098870435</v>
      </c>
      <c r="AA530" s="3">
        <v>-29986.361098870435</v>
      </c>
      <c r="AB530" s="3">
        <v>0</v>
      </c>
      <c r="AC530" s="3">
        <v>0</v>
      </c>
      <c r="AD530" s="3">
        <v>0</v>
      </c>
      <c r="AE530" s="3">
        <v>-287802.76676367846</v>
      </c>
      <c r="AF530" s="3">
        <v>0</v>
      </c>
      <c r="AG530" s="3">
        <v>-287802.76676367846</v>
      </c>
      <c r="AH530" s="3">
        <v>-287802.76676367846</v>
      </c>
      <c r="AI530" s="3">
        <v>800000</v>
      </c>
      <c r="AJ530" s="3">
        <v>48000</v>
      </c>
    </row>
    <row r="531" spans="1:36" x14ac:dyDescent="0.2">
      <c r="A531" s="3" t="s">
        <v>36</v>
      </c>
      <c r="B531" s="3" t="s">
        <v>37</v>
      </c>
      <c r="C531" s="3" t="s">
        <v>50</v>
      </c>
      <c r="D531" s="3">
        <v>2</v>
      </c>
      <c r="E531" s="3">
        <v>2023</v>
      </c>
      <c r="F531" s="3">
        <v>1</v>
      </c>
      <c r="G531" s="3" t="s">
        <v>42</v>
      </c>
      <c r="H531" s="3" t="s">
        <v>46</v>
      </c>
      <c r="I531" s="5">
        <v>2031696</v>
      </c>
      <c r="J531" s="3">
        <v>26323.200000000001</v>
      </c>
      <c r="K531" s="3">
        <v>2005372.8</v>
      </c>
      <c r="L531" s="3">
        <v>1225417.5999999999</v>
      </c>
      <c r="M531" s="3">
        <v>779955.20000000007</v>
      </c>
      <c r="N531" s="3">
        <v>377888.97214723105</v>
      </c>
      <c r="O531" s="3">
        <f t="shared" si="9"/>
        <v>18.843826551713029</v>
      </c>
      <c r="P531" s="3">
        <v>113777.77600000001</v>
      </c>
      <c r="Q531" s="3">
        <v>404.79999999999995</v>
      </c>
      <c r="R531" s="3">
        <v>95590.952769230775</v>
      </c>
      <c r="S531" s="3">
        <v>74252.819378000248</v>
      </c>
      <c r="T531" s="3">
        <v>0</v>
      </c>
      <c r="U531" s="3">
        <v>77995.51999999999</v>
      </c>
      <c r="V531" s="3">
        <v>15867.104000000001</v>
      </c>
      <c r="W531" s="3">
        <v>0</v>
      </c>
      <c r="X531" s="3">
        <v>402066.22785276908</v>
      </c>
      <c r="Y531" s="3">
        <v>0</v>
      </c>
      <c r="Z531" s="3">
        <v>24812.566102865912</v>
      </c>
      <c r="AA531" s="3">
        <v>-24812.566102865912</v>
      </c>
      <c r="AB531" s="3">
        <v>0</v>
      </c>
      <c r="AC531" s="3">
        <v>0</v>
      </c>
      <c r="AD531" s="3">
        <v>0</v>
      </c>
      <c r="AE531" s="3">
        <v>377253.66174990311</v>
      </c>
      <c r="AF531" s="3">
        <v>0</v>
      </c>
      <c r="AG531" s="3">
        <v>377253.66174990311</v>
      </c>
      <c r="AH531" s="3">
        <v>377253.66174990311</v>
      </c>
      <c r="AI531" s="3">
        <v>6400000</v>
      </c>
      <c r="AJ531" s="3">
        <v>384000</v>
      </c>
    </row>
    <row r="532" spans="1:36" x14ac:dyDescent="0.2">
      <c r="A532" s="3" t="s">
        <v>36</v>
      </c>
      <c r="B532" s="3" t="s">
        <v>37</v>
      </c>
      <c r="C532" s="3" t="s">
        <v>50</v>
      </c>
      <c r="D532" s="3">
        <v>1</v>
      </c>
      <c r="E532" s="3">
        <v>2023</v>
      </c>
      <c r="F532" s="3">
        <v>1</v>
      </c>
      <c r="G532" s="3" t="s">
        <v>42</v>
      </c>
      <c r="H532" s="3" t="s">
        <v>46</v>
      </c>
      <c r="I532" s="5">
        <v>2346210</v>
      </c>
      <c r="J532" s="3">
        <v>18150</v>
      </c>
      <c r="K532" s="3">
        <v>2328060</v>
      </c>
      <c r="L532" s="3">
        <v>1424526</v>
      </c>
      <c r="M532" s="3">
        <v>903534</v>
      </c>
      <c r="N532" s="3">
        <v>544339.51253567345</v>
      </c>
      <c r="O532" s="3">
        <f t="shared" si="9"/>
        <v>23.381678845720188</v>
      </c>
      <c r="P532" s="3">
        <v>213333.33</v>
      </c>
      <c r="Q532" s="3">
        <v>759</v>
      </c>
      <c r="R532" s="3">
        <v>157694.52620192309</v>
      </c>
      <c r="S532" s="3">
        <v>52822.536333750453</v>
      </c>
      <c r="T532" s="3">
        <v>0</v>
      </c>
      <c r="U532" s="3">
        <v>90353.4</v>
      </c>
      <c r="V532" s="3">
        <v>29376.720000000001</v>
      </c>
      <c r="W532" s="3">
        <v>0</v>
      </c>
      <c r="X532" s="3">
        <v>359194.48746432643</v>
      </c>
      <c r="Y532" s="3">
        <v>0</v>
      </c>
      <c r="Z532" s="3">
        <v>46523.561442873586</v>
      </c>
      <c r="AA532" s="3">
        <v>-46523.561442873586</v>
      </c>
      <c r="AB532" s="3">
        <v>0</v>
      </c>
      <c r="AC532" s="3">
        <v>0</v>
      </c>
      <c r="AD532" s="3">
        <v>0</v>
      </c>
      <c r="AE532" s="3">
        <v>312670.92602145288</v>
      </c>
      <c r="AF532" s="3">
        <v>0</v>
      </c>
      <c r="AG532" s="3">
        <v>312670.92602145288</v>
      </c>
      <c r="AH532" s="3">
        <v>312670.92602145288</v>
      </c>
      <c r="AI532" s="3">
        <v>2100000</v>
      </c>
      <c r="AJ532" s="3">
        <v>136500</v>
      </c>
    </row>
    <row r="533" spans="1:36" x14ac:dyDescent="0.2">
      <c r="A533" s="3" t="s">
        <v>36</v>
      </c>
      <c r="B533" s="3" t="s">
        <v>37</v>
      </c>
      <c r="C533" s="3" t="s">
        <v>50</v>
      </c>
      <c r="D533" s="3">
        <v>3</v>
      </c>
      <c r="E533" s="3">
        <v>2023</v>
      </c>
      <c r="F533" s="3">
        <v>1</v>
      </c>
      <c r="G533" s="3" t="s">
        <v>48</v>
      </c>
      <c r="H533" s="3" t="s">
        <v>46</v>
      </c>
      <c r="I533" s="5">
        <v>13403148</v>
      </c>
      <c r="J533" s="3">
        <v>794856.7</v>
      </c>
      <c r="K533" s="3">
        <v>12608291.299999999</v>
      </c>
      <c r="L533" s="3">
        <v>8288132.4680000003</v>
      </c>
      <c r="M533" s="3">
        <v>4320158.8320000004</v>
      </c>
      <c r="N533" s="3">
        <v>2894269.151865277</v>
      </c>
      <c r="O533" s="3">
        <f t="shared" si="9"/>
        <v>22.955284605974143</v>
      </c>
      <c r="P533" s="3">
        <v>608571.53279999993</v>
      </c>
      <c r="Q533" s="3">
        <v>297155.6370398532</v>
      </c>
      <c r="R533" s="3">
        <v>753828.78575997893</v>
      </c>
      <c r="S533" s="3">
        <v>230495.81339253997</v>
      </c>
      <c r="T533" s="3">
        <v>405498.51774004661</v>
      </c>
      <c r="U533" s="3">
        <v>341754.02028054843</v>
      </c>
      <c r="V533" s="3">
        <v>256964.84485231008</v>
      </c>
      <c r="W533" s="3">
        <v>0</v>
      </c>
      <c r="X533" s="3">
        <v>1425889.6801347234</v>
      </c>
      <c r="Y533" s="3">
        <v>0</v>
      </c>
      <c r="Z533" s="3">
        <v>545113.785031548</v>
      </c>
      <c r="AA533" s="3">
        <v>-545113.785031548</v>
      </c>
      <c r="AB533" s="3">
        <v>0</v>
      </c>
      <c r="AC533" s="3">
        <v>121917.45638538997</v>
      </c>
      <c r="AD533" s="3">
        <v>-121917.45638538997</v>
      </c>
      <c r="AE533" s="3">
        <v>758858.43871778529</v>
      </c>
      <c r="AF533" s="3">
        <v>0</v>
      </c>
      <c r="AG533" s="3">
        <v>758858.43871778529</v>
      </c>
      <c r="AH533" s="3">
        <v>758858.43871778529</v>
      </c>
      <c r="AI533" s="3">
        <v>22000000</v>
      </c>
      <c r="AJ533" s="3">
        <v>0</v>
      </c>
    </row>
    <row r="534" spans="1:36" x14ac:dyDescent="0.2">
      <c r="A534" s="3" t="s">
        <v>36</v>
      </c>
      <c r="B534" s="3" t="s">
        <v>37</v>
      </c>
      <c r="C534" s="3" t="s">
        <v>50</v>
      </c>
      <c r="D534" s="3">
        <v>1</v>
      </c>
      <c r="E534" s="3">
        <v>2023</v>
      </c>
      <c r="F534" s="3">
        <v>1</v>
      </c>
      <c r="G534" s="3" t="s">
        <v>48</v>
      </c>
      <c r="H534" s="3" t="s">
        <v>46</v>
      </c>
      <c r="I534" s="5">
        <v>25889725</v>
      </c>
      <c r="J534" s="3">
        <v>131950</v>
      </c>
      <c r="K534" s="3">
        <v>25757775</v>
      </c>
      <c r="L534" s="3">
        <v>15917071.574999999</v>
      </c>
      <c r="M534" s="3">
        <v>9840703.4250000007</v>
      </c>
      <c r="N534" s="3">
        <v>5827399.3979535103</v>
      </c>
      <c r="O534" s="3">
        <f t="shared" si="9"/>
        <v>22.623846189950452</v>
      </c>
      <c r="P534" s="3">
        <v>1383117.12</v>
      </c>
      <c r="Q534" s="3">
        <v>675353.72054512089</v>
      </c>
      <c r="R534" s="3">
        <v>1632352.6344849863</v>
      </c>
      <c r="S534" s="3">
        <v>536188.05118519813</v>
      </c>
      <c r="T534" s="3">
        <v>168598.03086171515</v>
      </c>
      <c r="U534" s="3">
        <v>823233.57915430923</v>
      </c>
      <c r="V534" s="3">
        <v>608556.26172218029</v>
      </c>
      <c r="W534" s="3">
        <v>0</v>
      </c>
      <c r="X534" s="3">
        <v>4013304.0270464895</v>
      </c>
      <c r="Y534" s="3">
        <v>0</v>
      </c>
      <c r="Z534" s="3">
        <v>1200734.6430899315</v>
      </c>
      <c r="AA534" s="3">
        <v>-1200734.6430899315</v>
      </c>
      <c r="AB534" s="3">
        <v>0</v>
      </c>
      <c r="AC534" s="3">
        <v>184266.30554278666</v>
      </c>
      <c r="AD534" s="3">
        <v>-184266.30554278666</v>
      </c>
      <c r="AE534" s="3">
        <v>2628303.0784137715</v>
      </c>
      <c r="AF534" s="3">
        <v>0</v>
      </c>
      <c r="AG534" s="3">
        <v>2628303.0784137715</v>
      </c>
      <c r="AH534" s="3">
        <v>2628303.0784137715</v>
      </c>
      <c r="AI534" s="3">
        <v>54250000</v>
      </c>
      <c r="AJ534" s="3">
        <v>7052500</v>
      </c>
    </row>
    <row r="535" spans="1:36" x14ac:dyDescent="0.2">
      <c r="A535" s="3" t="s">
        <v>36</v>
      </c>
      <c r="B535" s="3" t="s">
        <v>37</v>
      </c>
      <c r="C535" s="3" t="s">
        <v>50</v>
      </c>
      <c r="D535" s="3">
        <v>2</v>
      </c>
      <c r="E535" s="3">
        <v>2023</v>
      </c>
      <c r="F535" s="3">
        <v>1</v>
      </c>
      <c r="G535" s="3" t="s">
        <v>48</v>
      </c>
      <c r="H535" s="3" t="s">
        <v>46</v>
      </c>
      <c r="I535" s="5">
        <v>47892182</v>
      </c>
      <c r="J535" s="3">
        <v>1928407.26</v>
      </c>
      <c r="K535" s="3">
        <v>45963774.740000002</v>
      </c>
      <c r="L535" s="3">
        <v>29449461.678000003</v>
      </c>
      <c r="M535" s="3">
        <v>16514313.061999999</v>
      </c>
      <c r="N535" s="3">
        <v>6369958.1790319346</v>
      </c>
      <c r="O535" s="3">
        <f t="shared" si="9"/>
        <v>13.858648936177287</v>
      </c>
      <c r="P535" s="3">
        <v>1438441.8047999998</v>
      </c>
      <c r="Q535" s="3">
        <v>702367.86936692568</v>
      </c>
      <c r="R535" s="3">
        <v>1466687.7171882405</v>
      </c>
      <c r="S535" s="3">
        <v>606844.94460878451</v>
      </c>
      <c r="T535" s="3">
        <v>493284.08030790131</v>
      </c>
      <c r="U535" s="3">
        <v>1054142.663285017</v>
      </c>
      <c r="V535" s="3">
        <v>608189.09947506408</v>
      </c>
      <c r="W535" s="3">
        <v>0</v>
      </c>
      <c r="X535" s="3">
        <v>10144354.882968066</v>
      </c>
      <c r="Y535" s="3">
        <v>0</v>
      </c>
      <c r="Z535" s="3">
        <v>1299573.5245662692</v>
      </c>
      <c r="AA535" s="3">
        <v>-1299573.5245662692</v>
      </c>
      <c r="AB535" s="3">
        <v>0</v>
      </c>
      <c r="AC535" s="3">
        <v>277323.77473961859</v>
      </c>
      <c r="AD535" s="3">
        <v>-277323.77473961859</v>
      </c>
      <c r="AE535" s="3">
        <v>8567457.5836621802</v>
      </c>
      <c r="AF535" s="3">
        <v>0</v>
      </c>
      <c r="AG535" s="3">
        <v>8567457.5836621802</v>
      </c>
      <c r="AH535" s="3">
        <v>8567457.5836621802</v>
      </c>
      <c r="AI535" s="3">
        <v>65000000</v>
      </c>
      <c r="AJ535" s="3">
        <v>8450000</v>
      </c>
    </row>
    <row r="536" spans="1:36" x14ac:dyDescent="0.2">
      <c r="A536" s="3" t="s">
        <v>36</v>
      </c>
      <c r="B536" s="3" t="s">
        <v>37</v>
      </c>
      <c r="C536" s="3" t="s">
        <v>50</v>
      </c>
      <c r="D536" s="3">
        <v>3</v>
      </c>
      <c r="E536" s="3">
        <v>2023</v>
      </c>
      <c r="F536" s="3">
        <v>1</v>
      </c>
      <c r="G536" s="3" t="s">
        <v>39</v>
      </c>
      <c r="H536" s="3" t="s">
        <v>46</v>
      </c>
      <c r="I536" s="5">
        <v>1136864899.1150861</v>
      </c>
      <c r="J536" s="3">
        <v>0</v>
      </c>
      <c r="K536" s="3">
        <v>1136864899.1150861</v>
      </c>
      <c r="L536" s="3">
        <v>1135487030.9997807</v>
      </c>
      <c r="M536" s="3">
        <v>1377868.1153055038</v>
      </c>
      <c r="N536" s="3">
        <v>1490663.7061075373</v>
      </c>
      <c r="O536" s="3">
        <f t="shared" si="9"/>
        <v>0.13112056738385022</v>
      </c>
      <c r="P536" s="3">
        <v>211239.70559999999</v>
      </c>
      <c r="Q536" s="3">
        <v>0</v>
      </c>
      <c r="R536" s="3">
        <v>794134.26079535403</v>
      </c>
      <c r="S536" s="3">
        <v>280189.70429972111</v>
      </c>
      <c r="T536" s="3">
        <v>40559.580881911432</v>
      </c>
      <c r="U536" s="3">
        <v>137786.81153055042</v>
      </c>
      <c r="V536" s="3">
        <v>26753.643000000004</v>
      </c>
      <c r="W536" s="3">
        <v>0</v>
      </c>
      <c r="X536" s="3">
        <v>-112795.59080203324</v>
      </c>
      <c r="Y536" s="3">
        <v>772027.91852825391</v>
      </c>
      <c r="Z536" s="3">
        <v>975488.7760522163</v>
      </c>
      <c r="AA536" s="3">
        <v>-203460.85752396248</v>
      </c>
      <c r="AB536" s="3">
        <v>105</v>
      </c>
      <c r="AC536" s="3">
        <v>0</v>
      </c>
      <c r="AD536" s="3">
        <v>105</v>
      </c>
      <c r="AE536" s="3">
        <v>-316151.44832599571</v>
      </c>
      <c r="AF536" s="3">
        <v>0</v>
      </c>
      <c r="AG536" s="3">
        <v>-316151.44832599571</v>
      </c>
      <c r="AH536" s="3">
        <v>-316151.44832599571</v>
      </c>
      <c r="AI536" s="3">
        <v>1136864899.1150861</v>
      </c>
      <c r="AJ536" s="3">
        <v>223122.87070754857</v>
      </c>
    </row>
    <row r="537" spans="1:36" x14ac:dyDescent="0.2">
      <c r="A537" s="3" t="s">
        <v>36</v>
      </c>
      <c r="B537" s="3" t="s">
        <v>37</v>
      </c>
      <c r="C537" s="3" t="s">
        <v>50</v>
      </c>
      <c r="D537" s="3">
        <v>2</v>
      </c>
      <c r="E537" s="3">
        <v>2023</v>
      </c>
      <c r="F537" s="3">
        <v>1</v>
      </c>
      <c r="G537" s="3" t="s">
        <v>39</v>
      </c>
      <c r="H537" s="3" t="s">
        <v>46</v>
      </c>
      <c r="I537" s="5">
        <v>1807540705.0008247</v>
      </c>
      <c r="J537" s="3">
        <v>0</v>
      </c>
      <c r="K537" s="3">
        <v>1807540705.0008247</v>
      </c>
      <c r="L537" s="3">
        <v>1804491194.9046021</v>
      </c>
      <c r="M537" s="3">
        <v>3049510.0962223513</v>
      </c>
      <c r="N537" s="3">
        <v>1309799.5454520932</v>
      </c>
      <c r="O537" s="3">
        <f t="shared" si="9"/>
        <v>7.2463073270125647E-2</v>
      </c>
      <c r="P537" s="3">
        <v>171003.57119999998</v>
      </c>
      <c r="Q537" s="3">
        <v>0</v>
      </c>
      <c r="R537" s="3">
        <v>667079.65285119112</v>
      </c>
      <c r="S537" s="3">
        <v>75129.236814059957</v>
      </c>
      <c r="T537" s="3">
        <v>49489.04596460711</v>
      </c>
      <c r="U537" s="3">
        <v>304951.00962223514</v>
      </c>
      <c r="V537" s="3">
        <v>42147.028999999995</v>
      </c>
      <c r="W537" s="3">
        <v>0</v>
      </c>
      <c r="X537" s="3">
        <v>1739710.5507702578</v>
      </c>
      <c r="Y537" s="3">
        <v>811597.81666387478</v>
      </c>
      <c r="Z537" s="3">
        <v>1136973.4198686052</v>
      </c>
      <c r="AA537" s="3">
        <v>-325375.6032047302</v>
      </c>
      <c r="AB537" s="3">
        <v>935</v>
      </c>
      <c r="AC537" s="3">
        <v>0</v>
      </c>
      <c r="AD537" s="3">
        <v>935</v>
      </c>
      <c r="AE537" s="3">
        <v>1415269.9475655274</v>
      </c>
      <c r="AF537" s="3">
        <v>0</v>
      </c>
      <c r="AG537" s="3">
        <v>1415269.9475655274</v>
      </c>
      <c r="AH537" s="3">
        <v>1415269.9475655274</v>
      </c>
      <c r="AI537" s="3">
        <v>1807540705.0008247</v>
      </c>
      <c r="AJ537" s="3">
        <v>180623.27628706308</v>
      </c>
    </row>
    <row r="538" spans="1:36" x14ac:dyDescent="0.2">
      <c r="A538" s="3" t="s">
        <v>36</v>
      </c>
      <c r="B538" s="3" t="s">
        <v>37</v>
      </c>
      <c r="C538" s="3" t="s">
        <v>50</v>
      </c>
      <c r="D538" s="3">
        <v>1</v>
      </c>
      <c r="E538" s="3">
        <v>2023</v>
      </c>
      <c r="F538" s="3">
        <v>1</v>
      </c>
      <c r="G538" s="3" t="s">
        <v>39</v>
      </c>
      <c r="H538" s="3" t="s">
        <v>46</v>
      </c>
      <c r="I538" s="5">
        <v>2390597536.0522265</v>
      </c>
      <c r="J538" s="3">
        <v>0</v>
      </c>
      <c r="K538" s="3">
        <v>2390597536.0522265</v>
      </c>
      <c r="L538" s="3">
        <v>2385515321.7664537</v>
      </c>
      <c r="M538" s="3">
        <v>5082214.2857728265</v>
      </c>
      <c r="N538" s="3">
        <v>1432555.2333377064</v>
      </c>
      <c r="O538" s="3">
        <f t="shared" si="9"/>
        <v>5.9924567466232426E-2</v>
      </c>
      <c r="P538" s="3">
        <v>120708.4032</v>
      </c>
      <c r="Q538" s="3">
        <v>26640.936000000002</v>
      </c>
      <c r="R538" s="3">
        <v>563321.51834270393</v>
      </c>
      <c r="S538" s="3">
        <v>75916.402456983502</v>
      </c>
      <c r="T538" s="3">
        <v>108369.80076073609</v>
      </c>
      <c r="U538" s="3">
        <v>508221.42857728282</v>
      </c>
      <c r="V538" s="3">
        <v>29376.743999999999</v>
      </c>
      <c r="W538" s="3">
        <v>0</v>
      </c>
      <c r="X538" s="3">
        <v>3649659.0524351201</v>
      </c>
      <c r="Y538" s="3">
        <v>1759967.6859294823</v>
      </c>
      <c r="Z538" s="3">
        <v>1948643.368484227</v>
      </c>
      <c r="AA538" s="3">
        <v>-188675.68255474482</v>
      </c>
      <c r="AB538" s="3">
        <v>960</v>
      </c>
      <c r="AC538" s="3">
        <v>0</v>
      </c>
      <c r="AD538" s="3">
        <v>960</v>
      </c>
      <c r="AE538" s="3">
        <v>3461943.369880375</v>
      </c>
      <c r="AF538" s="3">
        <v>0</v>
      </c>
      <c r="AG538" s="3">
        <v>3461943.369880375</v>
      </c>
      <c r="AH538" s="3">
        <v>3461943.369880375</v>
      </c>
      <c r="AI538" s="3">
        <v>3230597536.0522265</v>
      </c>
      <c r="AJ538" s="3">
        <v>270934.91443059465</v>
      </c>
    </row>
    <row r="539" spans="1:36" x14ac:dyDescent="0.2">
      <c r="A539" s="3" t="s">
        <v>36</v>
      </c>
      <c r="B539" s="3" t="s">
        <v>37</v>
      </c>
      <c r="C539" s="3" t="s">
        <v>51</v>
      </c>
      <c r="D539" s="3">
        <v>1</v>
      </c>
      <c r="E539" s="3">
        <v>2023</v>
      </c>
      <c r="F539" s="3">
        <v>1</v>
      </c>
      <c r="G539" s="3" t="s">
        <v>42</v>
      </c>
      <c r="H539" s="3" t="s">
        <v>46</v>
      </c>
      <c r="I539" s="5">
        <v>435644</v>
      </c>
      <c r="J539" s="3">
        <v>0</v>
      </c>
      <c r="K539" s="3">
        <v>435644</v>
      </c>
      <c r="L539" s="3">
        <v>261386.40000000002</v>
      </c>
      <c r="M539" s="3">
        <v>174257.59999999998</v>
      </c>
      <c r="N539" s="3">
        <v>174197.97883508957</v>
      </c>
      <c r="O539" s="3">
        <f t="shared" si="9"/>
        <v>39.986314246285858</v>
      </c>
      <c r="P539" s="3">
        <v>0</v>
      </c>
      <c r="Q539" s="3">
        <v>0</v>
      </c>
      <c r="R539" s="3">
        <v>67475.004807692312</v>
      </c>
      <c r="S539" s="3">
        <v>86649.151027397282</v>
      </c>
      <c r="T539" s="3">
        <v>0</v>
      </c>
      <c r="U539" s="3">
        <v>17425.760000000002</v>
      </c>
      <c r="V539" s="3">
        <v>2648.0630000000001</v>
      </c>
      <c r="W539" s="3">
        <v>0</v>
      </c>
      <c r="X539" s="3">
        <v>59.621164910417058</v>
      </c>
      <c r="Y539" s="3">
        <v>0</v>
      </c>
      <c r="Z539" s="3">
        <v>18501.088104810638</v>
      </c>
      <c r="AA539" s="3">
        <v>-18501.088104810638</v>
      </c>
      <c r="AB539" s="3">
        <v>0</v>
      </c>
      <c r="AC539" s="3">
        <v>0</v>
      </c>
      <c r="AD539" s="3">
        <v>0</v>
      </c>
      <c r="AE539" s="3">
        <v>-18441.46693990022</v>
      </c>
      <c r="AF539" s="3">
        <v>0</v>
      </c>
      <c r="AG539" s="3">
        <v>-18441.46693990022</v>
      </c>
      <c r="AH539" s="3">
        <v>-18441.46693990022</v>
      </c>
      <c r="AI539" s="3">
        <v>220000</v>
      </c>
      <c r="AJ539" s="3">
        <v>13200</v>
      </c>
    </row>
    <row r="540" spans="1:36" x14ac:dyDescent="0.2">
      <c r="A540" s="3" t="s">
        <v>36</v>
      </c>
      <c r="B540" s="3" t="s">
        <v>37</v>
      </c>
      <c r="C540" s="3" t="s">
        <v>51</v>
      </c>
      <c r="D540" s="3">
        <v>3</v>
      </c>
      <c r="E540" s="3">
        <v>2023</v>
      </c>
      <c r="F540" s="3">
        <v>1</v>
      </c>
      <c r="G540" s="3" t="s">
        <v>42</v>
      </c>
      <c r="H540" s="3" t="s">
        <v>46</v>
      </c>
      <c r="I540" s="5">
        <v>1235099.9999999998</v>
      </c>
      <c r="J540" s="3">
        <v>237153</v>
      </c>
      <c r="K540" s="3">
        <v>997946.99999999977</v>
      </c>
      <c r="L540" s="3">
        <v>741060</v>
      </c>
      <c r="M540" s="3">
        <v>256886.99999999997</v>
      </c>
      <c r="N540" s="3">
        <v>317682.59566728037</v>
      </c>
      <c r="O540" s="3">
        <f t="shared" si="9"/>
        <v>31.833613976221226</v>
      </c>
      <c r="P540" s="3">
        <v>0</v>
      </c>
      <c r="Q540" s="3">
        <v>0</v>
      </c>
      <c r="R540" s="3">
        <v>105963.48906454066</v>
      </c>
      <c r="S540" s="3">
        <v>179450.84260273975</v>
      </c>
      <c r="T540" s="3">
        <v>0</v>
      </c>
      <c r="U540" s="3">
        <v>25688.699999999997</v>
      </c>
      <c r="V540" s="3">
        <v>6579.5639999999994</v>
      </c>
      <c r="W540" s="3">
        <v>0</v>
      </c>
      <c r="X540" s="3">
        <v>-60795.595667280388</v>
      </c>
      <c r="Y540" s="3">
        <v>0</v>
      </c>
      <c r="Z540" s="3">
        <v>35764.39046938422</v>
      </c>
      <c r="AA540" s="3">
        <v>-35764.39046938422</v>
      </c>
      <c r="AB540" s="3">
        <v>0</v>
      </c>
      <c r="AC540" s="3">
        <v>0</v>
      </c>
      <c r="AD540" s="3">
        <v>0</v>
      </c>
      <c r="AE540" s="3">
        <v>-96559.986136664593</v>
      </c>
      <c r="AF540" s="3">
        <v>0</v>
      </c>
      <c r="AG540" s="3">
        <v>-96559.986136664593</v>
      </c>
      <c r="AH540" s="3">
        <v>-96559.986136664593</v>
      </c>
      <c r="AI540" s="3">
        <v>1840000</v>
      </c>
      <c r="AJ540" s="3">
        <v>110400</v>
      </c>
    </row>
    <row r="541" spans="1:36" x14ac:dyDescent="0.2">
      <c r="A541" s="3" t="s">
        <v>36</v>
      </c>
      <c r="B541" s="3" t="s">
        <v>37</v>
      </c>
      <c r="C541" s="3" t="s">
        <v>51</v>
      </c>
      <c r="D541" s="3">
        <v>2</v>
      </c>
      <c r="E541" s="3">
        <v>2023</v>
      </c>
      <c r="F541" s="3">
        <v>1</v>
      </c>
      <c r="G541" s="3" t="s">
        <v>42</v>
      </c>
      <c r="H541" s="3" t="s">
        <v>46</v>
      </c>
      <c r="I541" s="5">
        <v>2134485</v>
      </c>
      <c r="J541" s="3">
        <v>42415.5</v>
      </c>
      <c r="K541" s="3">
        <v>2092069.5</v>
      </c>
      <c r="L541" s="3">
        <v>1280691</v>
      </c>
      <c r="M541" s="3">
        <v>811378.5</v>
      </c>
      <c r="N541" s="3">
        <v>195754.64956533193</v>
      </c>
      <c r="O541" s="3">
        <f t="shared" si="9"/>
        <v>9.3569859684552519</v>
      </c>
      <c r="P541" s="3">
        <v>0</v>
      </c>
      <c r="Q541" s="3">
        <v>0</v>
      </c>
      <c r="R541" s="3">
        <v>64937.841346153837</v>
      </c>
      <c r="S541" s="3">
        <v>42132.683219178085</v>
      </c>
      <c r="T541" s="3">
        <v>0</v>
      </c>
      <c r="U541" s="3">
        <v>81137.850000000006</v>
      </c>
      <c r="V541" s="3">
        <v>7546.2750000000005</v>
      </c>
      <c r="W541" s="3">
        <v>0</v>
      </c>
      <c r="X541" s="3">
        <v>615623.85043466801</v>
      </c>
      <c r="Y541" s="3">
        <v>0</v>
      </c>
      <c r="Z541" s="3">
        <v>25228.756506559963</v>
      </c>
      <c r="AA541" s="3">
        <v>-25228.756506559963</v>
      </c>
      <c r="AB541" s="3">
        <v>0</v>
      </c>
      <c r="AC541" s="3">
        <v>0</v>
      </c>
      <c r="AD541" s="3">
        <v>0</v>
      </c>
      <c r="AE541" s="3">
        <v>590395.09392810811</v>
      </c>
      <c r="AF541" s="3">
        <v>0</v>
      </c>
      <c r="AG541" s="3">
        <v>590395.09392810811</v>
      </c>
      <c r="AH541" s="3">
        <v>590395.09392810811</v>
      </c>
      <c r="AI541" s="3">
        <v>3750000</v>
      </c>
      <c r="AJ541" s="3">
        <v>225000</v>
      </c>
    </row>
    <row r="542" spans="1:36" x14ac:dyDescent="0.2">
      <c r="A542" s="3" t="s">
        <v>36</v>
      </c>
      <c r="B542" s="3" t="s">
        <v>37</v>
      </c>
      <c r="C542" s="3" t="s">
        <v>51</v>
      </c>
      <c r="D542" s="3">
        <v>3</v>
      </c>
      <c r="E542" s="3">
        <v>2023</v>
      </c>
      <c r="F542" s="3">
        <v>1</v>
      </c>
      <c r="G542" s="3" t="s">
        <v>48</v>
      </c>
      <c r="H542" s="3" t="s">
        <v>46</v>
      </c>
      <c r="I542" s="5">
        <v>10284530</v>
      </c>
      <c r="J542" s="3">
        <v>412387</v>
      </c>
      <c r="K542" s="3">
        <v>9872143</v>
      </c>
      <c r="L542" s="3">
        <v>7401560.1699999999</v>
      </c>
      <c r="M542" s="3">
        <v>2470582.83</v>
      </c>
      <c r="N542" s="3">
        <v>2495850.1196914688</v>
      </c>
      <c r="O542" s="3">
        <f t="shared" si="9"/>
        <v>25.28174601696378</v>
      </c>
      <c r="P542" s="3">
        <v>748328</v>
      </c>
      <c r="Q542" s="3">
        <v>290803.75261558307</v>
      </c>
      <c r="R542" s="3">
        <v>565748.72681558819</v>
      </c>
      <c r="S542" s="3">
        <v>166686.9633082884</v>
      </c>
      <c r="T542" s="3">
        <v>311147.92365592334</v>
      </c>
      <c r="U542" s="3">
        <v>262235.36994412867</v>
      </c>
      <c r="V542" s="3">
        <v>150899.38335195725</v>
      </c>
      <c r="W542" s="3">
        <v>0</v>
      </c>
      <c r="X542" s="3">
        <v>-25267.289691469072</v>
      </c>
      <c r="Y542" s="3">
        <v>0</v>
      </c>
      <c r="Z542" s="3">
        <v>644348.03713592305</v>
      </c>
      <c r="AA542" s="3">
        <v>-644348.03713592305</v>
      </c>
      <c r="AB542" s="3">
        <v>0</v>
      </c>
      <c r="AC542" s="3">
        <v>93549.943469939637</v>
      </c>
      <c r="AD542" s="3">
        <v>-93549.943469939637</v>
      </c>
      <c r="AE542" s="3">
        <v>-763165.27029733185</v>
      </c>
      <c r="AF542" s="3">
        <v>0</v>
      </c>
      <c r="AG542" s="3">
        <v>-763165.27029733185</v>
      </c>
      <c r="AH542" s="3">
        <v>-763165.27029733185</v>
      </c>
      <c r="AI542" s="3">
        <v>20000000</v>
      </c>
      <c r="AJ542" s="3">
        <v>0</v>
      </c>
    </row>
    <row r="543" spans="1:36" x14ac:dyDescent="0.2">
      <c r="A543" s="3" t="s">
        <v>36</v>
      </c>
      <c r="B543" s="3" t="s">
        <v>37</v>
      </c>
      <c r="C543" s="3" t="s">
        <v>51</v>
      </c>
      <c r="D543" s="3">
        <v>2</v>
      </c>
      <c r="E543" s="3">
        <v>2023</v>
      </c>
      <c r="F543" s="3">
        <v>1</v>
      </c>
      <c r="G543" s="3" t="s">
        <v>48</v>
      </c>
      <c r="H543" s="3" t="s">
        <v>46</v>
      </c>
      <c r="I543" s="5">
        <v>20663016.000000004</v>
      </c>
      <c r="J543" s="3">
        <v>631281.09000000008</v>
      </c>
      <c r="K543" s="3">
        <v>20031734.91</v>
      </c>
      <c r="L543" s="3">
        <v>14258852.619000001</v>
      </c>
      <c r="M543" s="3">
        <v>5772882.2910000002</v>
      </c>
      <c r="N543" s="3">
        <v>2809008.1529460107</v>
      </c>
      <c r="O543" s="3">
        <f t="shared" si="9"/>
        <v>14.022790165537444</v>
      </c>
      <c r="P543" s="3">
        <v>823160.8</v>
      </c>
      <c r="Q543" s="3">
        <v>319884.12787714141</v>
      </c>
      <c r="R543" s="3">
        <v>579530.65972775477</v>
      </c>
      <c r="S543" s="3">
        <v>196014.17833736123</v>
      </c>
      <c r="T543" s="3">
        <v>212826.7374400993</v>
      </c>
      <c r="U543" s="3">
        <v>454808.40104008879</v>
      </c>
      <c r="V543" s="3">
        <v>222783.24852356515</v>
      </c>
      <c r="W543" s="3">
        <v>0</v>
      </c>
      <c r="X543" s="3">
        <v>2963874.138053989</v>
      </c>
      <c r="Y543" s="3">
        <v>0</v>
      </c>
      <c r="Z543" s="3">
        <v>687696.22715932538</v>
      </c>
      <c r="AA543" s="3">
        <v>-687696.22715932538</v>
      </c>
      <c r="AB543" s="3">
        <v>0</v>
      </c>
      <c r="AC543" s="3">
        <v>119650.96087342891</v>
      </c>
      <c r="AD543" s="3">
        <v>-119650.96087342891</v>
      </c>
      <c r="AE543" s="3">
        <v>2156526.9500212357</v>
      </c>
      <c r="AF543" s="3">
        <v>0</v>
      </c>
      <c r="AG543" s="3">
        <v>2156526.9500212357</v>
      </c>
      <c r="AH543" s="3">
        <v>2156526.9500212357</v>
      </c>
      <c r="AI543" s="3">
        <v>27500000</v>
      </c>
      <c r="AJ543" s="3">
        <v>3575000</v>
      </c>
    </row>
    <row r="544" spans="1:36" x14ac:dyDescent="0.2">
      <c r="A544" s="3" t="s">
        <v>36</v>
      </c>
      <c r="B544" s="3" t="s">
        <v>37</v>
      </c>
      <c r="C544" s="3" t="s">
        <v>51</v>
      </c>
      <c r="D544" s="3">
        <v>1</v>
      </c>
      <c r="E544" s="3">
        <v>2023</v>
      </c>
      <c r="F544" s="3">
        <v>1</v>
      </c>
      <c r="G544" s="3" t="s">
        <v>48</v>
      </c>
      <c r="H544" s="3" t="s">
        <v>46</v>
      </c>
      <c r="I544" s="5">
        <v>35517199</v>
      </c>
      <c r="J544" s="3">
        <v>2578067</v>
      </c>
      <c r="K544" s="3">
        <v>32939132</v>
      </c>
      <c r="L544" s="3">
        <v>21820460.346999995</v>
      </c>
      <c r="M544" s="3">
        <v>11118671.653000001</v>
      </c>
      <c r="N544" s="3">
        <v>4791925.8184073754</v>
      </c>
      <c r="O544" s="3">
        <f t="shared" si="9"/>
        <v>14.547820563114339</v>
      </c>
      <c r="P544" s="3">
        <v>1272157.5999999999</v>
      </c>
      <c r="Q544" s="3">
        <v>494366.37944649113</v>
      </c>
      <c r="R544" s="3">
        <v>1064540.4663716275</v>
      </c>
      <c r="S544" s="3">
        <v>408935.69120209164</v>
      </c>
      <c r="T544" s="3">
        <v>231293.68168737512</v>
      </c>
      <c r="U544" s="3">
        <v>1129365.0610157452</v>
      </c>
      <c r="V544" s="3">
        <v>191266.93868404411</v>
      </c>
      <c r="W544" s="3">
        <v>0</v>
      </c>
      <c r="X544" s="3">
        <v>6326745.8345926255</v>
      </c>
      <c r="Y544" s="3">
        <v>0</v>
      </c>
      <c r="Z544" s="3">
        <v>1065242.8802940059</v>
      </c>
      <c r="AA544" s="3">
        <v>-1065242.8802940059</v>
      </c>
      <c r="AB544" s="3">
        <v>0</v>
      </c>
      <c r="AC544" s="3">
        <v>252788.43413585715</v>
      </c>
      <c r="AD544" s="3">
        <v>-252788.43413585715</v>
      </c>
      <c r="AE544" s="3">
        <v>5008714.5201627612</v>
      </c>
      <c r="AF544" s="3">
        <v>0</v>
      </c>
      <c r="AG544" s="3">
        <v>5008714.5201627612</v>
      </c>
      <c r="AH544" s="3">
        <v>5008714.5201627612</v>
      </c>
      <c r="AI544" s="3">
        <v>31110000</v>
      </c>
      <c r="AJ544" s="3">
        <v>4044300</v>
      </c>
    </row>
    <row r="545" spans="1:36" x14ac:dyDescent="0.2">
      <c r="A545" s="3" t="s">
        <v>36</v>
      </c>
      <c r="B545" s="3" t="s">
        <v>37</v>
      </c>
      <c r="C545" s="3" t="s">
        <v>51</v>
      </c>
      <c r="D545" s="3">
        <v>1</v>
      </c>
      <c r="E545" s="3">
        <v>2023</v>
      </c>
      <c r="F545" s="3">
        <v>1</v>
      </c>
      <c r="G545" s="3" t="s">
        <v>39</v>
      </c>
      <c r="H545" s="3" t="s">
        <v>46</v>
      </c>
      <c r="I545" s="5">
        <v>925521052.56844282</v>
      </c>
      <c r="J545" s="3">
        <v>0</v>
      </c>
      <c r="K545" s="3">
        <v>925521052.56844282</v>
      </c>
      <c r="L545" s="3">
        <v>923553470.7215569</v>
      </c>
      <c r="M545" s="3">
        <v>1967581.8468860318</v>
      </c>
      <c r="N545" s="3">
        <v>1500956.8548292725</v>
      </c>
      <c r="O545" s="3">
        <f t="shared" si="9"/>
        <v>0.162174253158685</v>
      </c>
      <c r="P545" s="3">
        <v>94668</v>
      </c>
      <c r="Q545" s="3">
        <v>22548.455999999998</v>
      </c>
      <c r="R545" s="3">
        <v>960178.56719855499</v>
      </c>
      <c r="S545" s="3">
        <v>173890.19943225023</v>
      </c>
      <c r="T545" s="3">
        <v>41955.423509864158</v>
      </c>
      <c r="U545" s="3">
        <v>196758.18468860321</v>
      </c>
      <c r="V545" s="3">
        <v>10958.023999999998</v>
      </c>
      <c r="W545" s="3">
        <v>0</v>
      </c>
      <c r="X545" s="3">
        <v>466624.99205675937</v>
      </c>
      <c r="Y545" s="3">
        <v>681372.38518943905</v>
      </c>
      <c r="Z545" s="3">
        <v>754418.27170051797</v>
      </c>
      <c r="AA545" s="3">
        <v>-73045.886511079021</v>
      </c>
      <c r="AB545" s="3">
        <v>2660</v>
      </c>
      <c r="AC545" s="3">
        <v>0</v>
      </c>
      <c r="AD545" s="3">
        <v>2660</v>
      </c>
      <c r="AE545" s="3">
        <v>396239.10554568039</v>
      </c>
      <c r="AF545" s="3">
        <v>0</v>
      </c>
      <c r="AG545" s="3">
        <v>396239.10554568039</v>
      </c>
      <c r="AH545" s="3">
        <v>396239.10554568039</v>
      </c>
      <c r="AI545" s="3">
        <v>2465521052.5684433</v>
      </c>
      <c r="AJ545" s="3">
        <v>84392.401350089276</v>
      </c>
    </row>
    <row r="546" spans="1:36" x14ac:dyDescent="0.2">
      <c r="A546" s="3" t="s">
        <v>36</v>
      </c>
      <c r="B546" s="3" t="s">
        <v>37</v>
      </c>
      <c r="C546" s="3" t="s">
        <v>51</v>
      </c>
      <c r="D546" s="3">
        <v>3</v>
      </c>
      <c r="E546" s="3">
        <v>2023</v>
      </c>
      <c r="F546" s="3">
        <v>1</v>
      </c>
      <c r="G546" s="3" t="s">
        <v>39</v>
      </c>
      <c r="H546" s="3" t="s">
        <v>46</v>
      </c>
      <c r="I546" s="5">
        <v>1084963969.7159901</v>
      </c>
      <c r="J546" s="3">
        <v>0</v>
      </c>
      <c r="K546" s="3">
        <v>1084963969.7159901</v>
      </c>
      <c r="L546" s="3">
        <v>1083649004.9727821</v>
      </c>
      <c r="M546" s="3">
        <v>1314964.7432077562</v>
      </c>
      <c r="N546" s="3">
        <v>1423258.4847026053</v>
      </c>
      <c r="O546" s="3">
        <f t="shared" si="9"/>
        <v>0.13118025339359152</v>
      </c>
      <c r="P546" s="3">
        <v>91287</v>
      </c>
      <c r="Q546" s="3">
        <v>0</v>
      </c>
      <c r="R546" s="3">
        <v>932875.49389849184</v>
      </c>
      <c r="S546" s="3">
        <v>217305.83516681276</v>
      </c>
      <c r="T546" s="3">
        <v>38707.9273165251</v>
      </c>
      <c r="U546" s="3">
        <v>131496.47432077563</v>
      </c>
      <c r="V546" s="3">
        <v>11585.754000000001</v>
      </c>
      <c r="W546" s="3">
        <v>0</v>
      </c>
      <c r="X546" s="3">
        <v>-108293.74149484912</v>
      </c>
      <c r="Y546" s="3">
        <v>736782.77504211501</v>
      </c>
      <c r="Z546" s="3">
        <v>930955.0991527841</v>
      </c>
      <c r="AA546" s="3">
        <v>-194172.32411066911</v>
      </c>
      <c r="AB546" s="3">
        <v>2835</v>
      </c>
      <c r="AC546" s="3">
        <v>0</v>
      </c>
      <c r="AD546" s="3">
        <v>2835</v>
      </c>
      <c r="AE546" s="3">
        <v>-299631.06560551823</v>
      </c>
      <c r="AF546" s="3">
        <v>0</v>
      </c>
      <c r="AG546" s="3">
        <v>-299631.06560551823</v>
      </c>
      <c r="AH546" s="3">
        <v>-299631.06560551823</v>
      </c>
      <c r="AI546" s="3">
        <v>1084963969.7159901</v>
      </c>
      <c r="AJ546" s="3">
        <v>162756.77403231506</v>
      </c>
    </row>
    <row r="547" spans="1:36" x14ac:dyDescent="0.2">
      <c r="A547" s="3" t="s">
        <v>36</v>
      </c>
      <c r="B547" s="3" t="s">
        <v>37</v>
      </c>
      <c r="C547" s="3" t="s">
        <v>51</v>
      </c>
      <c r="D547" s="3">
        <v>2</v>
      </c>
      <c r="E547" s="3">
        <v>2023</v>
      </c>
      <c r="F547" s="3">
        <v>1</v>
      </c>
      <c r="G547" s="3" t="s">
        <v>39</v>
      </c>
      <c r="H547" s="3" t="s">
        <v>46</v>
      </c>
      <c r="I547" s="5">
        <v>2155351152.382318</v>
      </c>
      <c r="J547" s="3">
        <v>0</v>
      </c>
      <c r="K547" s="3">
        <v>2155351152.382318</v>
      </c>
      <c r="L547" s="3">
        <v>2151714849.7076898</v>
      </c>
      <c r="M547" s="3">
        <v>3636302.6746284328</v>
      </c>
      <c r="N547" s="3">
        <v>1468327.0880515273</v>
      </c>
      <c r="O547" s="3">
        <f t="shared" si="9"/>
        <v>6.8124726981428518E-2</v>
      </c>
      <c r="P547" s="3">
        <v>77763</v>
      </c>
      <c r="Q547" s="3">
        <v>0</v>
      </c>
      <c r="R547" s="3">
        <v>831043.2874275709</v>
      </c>
      <c r="S547" s="3">
        <v>118826.37810506269</v>
      </c>
      <c r="T547" s="3">
        <v>59011.823056050504</v>
      </c>
      <c r="U547" s="3">
        <v>363630.26746284327</v>
      </c>
      <c r="V547" s="3">
        <v>18052.331999999999</v>
      </c>
      <c r="W547" s="3">
        <v>0</v>
      </c>
      <c r="X547" s="3">
        <v>2167975.5865769051</v>
      </c>
      <c r="Y547" s="3">
        <v>967767.02432084817</v>
      </c>
      <c r="Z547" s="3">
        <v>1355752.0248158094</v>
      </c>
      <c r="AA547" s="3">
        <v>-387985.00049496122</v>
      </c>
      <c r="AB547" s="3">
        <v>3680</v>
      </c>
      <c r="AC547" s="3">
        <v>0</v>
      </c>
      <c r="AD547" s="3">
        <v>3680</v>
      </c>
      <c r="AE547" s="3">
        <v>1783670.5860819439</v>
      </c>
      <c r="AF547" s="3">
        <v>0</v>
      </c>
      <c r="AG547" s="3">
        <v>1783670.5860819439</v>
      </c>
      <c r="AH547" s="3">
        <v>1783670.5860819439</v>
      </c>
      <c r="AI547" s="3">
        <v>2155351152.382318</v>
      </c>
      <c r="AJ547" s="3">
        <v>138644.65936086094</v>
      </c>
    </row>
    <row r="548" spans="1:36" x14ac:dyDescent="0.2">
      <c r="A548" s="3" t="s">
        <v>36</v>
      </c>
      <c r="B548" s="3" t="s">
        <v>37</v>
      </c>
      <c r="C548" s="3" t="s">
        <v>52</v>
      </c>
      <c r="D548" s="3">
        <v>1</v>
      </c>
      <c r="E548" s="3">
        <v>2023</v>
      </c>
      <c r="F548" s="3">
        <v>1</v>
      </c>
      <c r="G548" s="3" t="s">
        <v>42</v>
      </c>
      <c r="H548" s="3" t="s">
        <v>46</v>
      </c>
      <c r="I548" s="5">
        <v>18700</v>
      </c>
      <c r="J548" s="3">
        <v>0</v>
      </c>
      <c r="K548" s="3">
        <v>18700</v>
      </c>
      <c r="L548" s="3">
        <v>11220</v>
      </c>
      <c r="M548" s="3">
        <v>7480</v>
      </c>
      <c r="N548" s="3">
        <v>89380.63549683879</v>
      </c>
      <c r="O548" s="3">
        <f t="shared" si="9"/>
        <v>477.97131281731976</v>
      </c>
      <c r="P548" s="3">
        <v>40611.096000000005</v>
      </c>
      <c r="Q548" s="3">
        <v>0</v>
      </c>
      <c r="R548" s="3">
        <v>41120.466346153851</v>
      </c>
      <c r="S548" s="3">
        <v>5392.4931506849325</v>
      </c>
      <c r="T548" s="3">
        <v>0</v>
      </c>
      <c r="U548" s="3">
        <v>748</v>
      </c>
      <c r="V548" s="3">
        <v>1508.58</v>
      </c>
      <c r="W548" s="3">
        <v>0</v>
      </c>
      <c r="X548" s="3">
        <v>-81900.63549683879</v>
      </c>
      <c r="Y548" s="3">
        <v>0</v>
      </c>
      <c r="Z548" s="3">
        <v>24355.744402286175</v>
      </c>
      <c r="AA548" s="3">
        <v>-24355.744402286175</v>
      </c>
      <c r="AB548" s="3">
        <v>0</v>
      </c>
      <c r="AC548" s="3">
        <v>0</v>
      </c>
      <c r="AD548" s="3">
        <v>0</v>
      </c>
      <c r="AE548" s="3">
        <v>-106256.37989912496</v>
      </c>
      <c r="AF548" s="3">
        <v>0</v>
      </c>
      <c r="AG548" s="3">
        <v>-106256.37989912496</v>
      </c>
      <c r="AH548" s="3">
        <v>-106256.37989912496</v>
      </c>
      <c r="AI548" s="3">
        <v>85000</v>
      </c>
      <c r="AJ548" s="3">
        <v>850</v>
      </c>
    </row>
    <row r="549" spans="1:36" x14ac:dyDescent="0.2">
      <c r="A549" s="3" t="s">
        <v>36</v>
      </c>
      <c r="B549" s="3" t="s">
        <v>37</v>
      </c>
      <c r="C549" s="3" t="s">
        <v>52</v>
      </c>
      <c r="D549" s="3">
        <v>3</v>
      </c>
      <c r="E549" s="3">
        <v>2023</v>
      </c>
      <c r="F549" s="3">
        <v>1</v>
      </c>
      <c r="G549" s="3" t="s">
        <v>42</v>
      </c>
      <c r="H549" s="3" t="s">
        <v>46</v>
      </c>
      <c r="I549" s="5">
        <v>20570.000000000004</v>
      </c>
      <c r="J549" s="3">
        <v>4532</v>
      </c>
      <c r="K549" s="3">
        <v>16038.000000000002</v>
      </c>
      <c r="L549" s="3">
        <v>12342</v>
      </c>
      <c r="M549" s="3">
        <v>3696.0000000000009</v>
      </c>
      <c r="N549" s="3">
        <v>83201.495716324265</v>
      </c>
      <c r="O549" s="3">
        <f t="shared" si="9"/>
        <v>518.7772522529259</v>
      </c>
      <c r="P549" s="3">
        <v>26277.768</v>
      </c>
      <c r="Q549" s="3">
        <v>0</v>
      </c>
      <c r="R549" s="3">
        <v>27791.806442351648</v>
      </c>
      <c r="S549" s="3">
        <v>17556.610273972605</v>
      </c>
      <c r="T549" s="3">
        <v>0</v>
      </c>
      <c r="U549" s="3">
        <v>369.6</v>
      </c>
      <c r="V549" s="3">
        <v>11205.711000000001</v>
      </c>
      <c r="W549" s="3">
        <v>0</v>
      </c>
      <c r="X549" s="3">
        <v>-79505.495716324251</v>
      </c>
      <c r="Y549" s="3">
        <v>0</v>
      </c>
      <c r="Z549" s="3">
        <v>15263.952270185149</v>
      </c>
      <c r="AA549" s="3">
        <v>-15263.952270185149</v>
      </c>
      <c r="AB549" s="3">
        <v>0</v>
      </c>
      <c r="AC549" s="3">
        <v>0</v>
      </c>
      <c r="AD549" s="3">
        <v>0</v>
      </c>
      <c r="AE549" s="3">
        <v>-94769.447986509404</v>
      </c>
      <c r="AF549" s="3">
        <v>0</v>
      </c>
      <c r="AG549" s="3">
        <v>-94769.447986509404</v>
      </c>
      <c r="AH549" s="3">
        <v>-94769.447986509404</v>
      </c>
      <c r="AI549" s="3">
        <v>0</v>
      </c>
      <c r="AJ549" s="3">
        <v>0</v>
      </c>
    </row>
    <row r="550" spans="1:36" x14ac:dyDescent="0.2">
      <c r="A550" s="3" t="s">
        <v>36</v>
      </c>
      <c r="B550" s="3" t="s">
        <v>37</v>
      </c>
      <c r="C550" s="3" t="s">
        <v>52</v>
      </c>
      <c r="D550" s="3">
        <v>2</v>
      </c>
      <c r="E550" s="3">
        <v>2023</v>
      </c>
      <c r="F550" s="3">
        <v>1</v>
      </c>
      <c r="G550" s="3" t="s">
        <v>42</v>
      </c>
      <c r="H550" s="3" t="s">
        <v>46</v>
      </c>
      <c r="I550" s="5">
        <v>331380</v>
      </c>
      <c r="J550" s="3">
        <v>11256</v>
      </c>
      <c r="K550" s="3">
        <v>320124</v>
      </c>
      <c r="L550" s="3">
        <v>203388</v>
      </c>
      <c r="M550" s="3">
        <v>116736</v>
      </c>
      <c r="N550" s="3">
        <v>83578.99498419388</v>
      </c>
      <c r="O550" s="3">
        <f t="shared" si="9"/>
        <v>26.108318958963988</v>
      </c>
      <c r="P550" s="3">
        <v>28666.656000000003</v>
      </c>
      <c r="Q550" s="3">
        <v>0</v>
      </c>
      <c r="R550" s="3">
        <v>28134.369230769225</v>
      </c>
      <c r="S550" s="3">
        <v>3806.465753424658</v>
      </c>
      <c r="T550" s="3">
        <v>0</v>
      </c>
      <c r="U550" s="3">
        <v>11673.599999999999</v>
      </c>
      <c r="V550" s="3">
        <v>11297.903999999999</v>
      </c>
      <c r="W550" s="3">
        <v>0</v>
      </c>
      <c r="X550" s="3">
        <v>33157.005015806113</v>
      </c>
      <c r="Y550" s="3">
        <v>0</v>
      </c>
      <c r="Z550" s="3">
        <v>17192.29016631965</v>
      </c>
      <c r="AA550" s="3">
        <v>-17192.29016631965</v>
      </c>
      <c r="AB550" s="3">
        <v>0</v>
      </c>
      <c r="AC550" s="3">
        <v>0</v>
      </c>
      <c r="AD550" s="3">
        <v>0</v>
      </c>
      <c r="AE550" s="3">
        <v>15964.714849486461</v>
      </c>
      <c r="AF550" s="3">
        <v>0</v>
      </c>
      <c r="AG550" s="3">
        <v>15964.714849486461</v>
      </c>
      <c r="AH550" s="3">
        <v>15964.714849486461</v>
      </c>
      <c r="AI550" s="3">
        <v>0</v>
      </c>
      <c r="AJ550" s="3">
        <v>0</v>
      </c>
    </row>
    <row r="551" spans="1:36" x14ac:dyDescent="0.2">
      <c r="A551" s="3" t="s">
        <v>36</v>
      </c>
      <c r="B551" s="3" t="s">
        <v>37</v>
      </c>
      <c r="C551" s="3" t="s">
        <v>52</v>
      </c>
      <c r="D551" s="3">
        <v>3</v>
      </c>
      <c r="E551" s="3">
        <v>2023</v>
      </c>
      <c r="F551" s="3">
        <v>1</v>
      </c>
      <c r="G551" s="3" t="s">
        <v>48</v>
      </c>
      <c r="H551" s="3" t="s">
        <v>46</v>
      </c>
      <c r="I551" s="5">
        <v>8255856</v>
      </c>
      <c r="J551" s="3">
        <v>594240.15</v>
      </c>
      <c r="K551" s="3">
        <v>7661615.8499999996</v>
      </c>
      <c r="L551" s="3">
        <v>5752179.006000001</v>
      </c>
      <c r="M551" s="3">
        <v>1909436.844</v>
      </c>
      <c r="N551" s="3">
        <v>2358755.2724055564</v>
      </c>
      <c r="O551" s="3">
        <f t="shared" si="9"/>
        <v>30.786655433860684</v>
      </c>
      <c r="P551" s="3">
        <v>318779.99999999994</v>
      </c>
      <c r="Q551" s="3">
        <v>634874.59693803708</v>
      </c>
      <c r="R551" s="3">
        <v>579964.7053543923</v>
      </c>
      <c r="S551" s="3">
        <v>148561.22161715629</v>
      </c>
      <c r="T551" s="3">
        <v>249772.4691747991</v>
      </c>
      <c r="U551" s="3">
        <v>210508.15665523405</v>
      </c>
      <c r="V551" s="3">
        <v>216294.12266593773</v>
      </c>
      <c r="W551" s="3">
        <v>0</v>
      </c>
      <c r="X551" s="3">
        <v>-449318.42840555648</v>
      </c>
      <c r="Y551" s="3">
        <v>0</v>
      </c>
      <c r="Z551" s="3">
        <v>354713.69615190395</v>
      </c>
      <c r="AA551" s="3">
        <v>-354713.69615190395</v>
      </c>
      <c r="AB551" s="3">
        <v>0</v>
      </c>
      <c r="AC551" s="3">
        <v>75096.758149955524</v>
      </c>
      <c r="AD551" s="3">
        <v>-75096.758149955524</v>
      </c>
      <c r="AE551" s="3">
        <v>-879128.88270741585</v>
      </c>
      <c r="AF551" s="3">
        <v>0</v>
      </c>
      <c r="AG551" s="3">
        <v>-879128.88270741585</v>
      </c>
      <c r="AH551" s="3">
        <v>-879128.88270741585</v>
      </c>
      <c r="AI551" s="3">
        <v>13650000</v>
      </c>
      <c r="AJ551" s="3">
        <v>682500</v>
      </c>
    </row>
    <row r="552" spans="1:36" x14ac:dyDescent="0.2">
      <c r="A552" s="3" t="s">
        <v>36</v>
      </c>
      <c r="B552" s="3" t="s">
        <v>37</v>
      </c>
      <c r="C552" s="3" t="s">
        <v>52</v>
      </c>
      <c r="D552" s="3">
        <v>1</v>
      </c>
      <c r="E552" s="3">
        <v>2023</v>
      </c>
      <c r="F552" s="3">
        <v>1</v>
      </c>
      <c r="G552" s="3" t="s">
        <v>48</v>
      </c>
      <c r="H552" s="3" t="s">
        <v>46</v>
      </c>
      <c r="I552" s="5">
        <v>9692540.0000000019</v>
      </c>
      <c r="J552" s="3">
        <v>270397.60000000003</v>
      </c>
      <c r="K552" s="3">
        <v>9422142.4000000004</v>
      </c>
      <c r="L552" s="3">
        <v>6455434.8540000012</v>
      </c>
      <c r="M552" s="3">
        <v>2966707.5460000006</v>
      </c>
      <c r="N552" s="3">
        <v>2206020.7516791546</v>
      </c>
      <c r="O552" s="3">
        <f t="shared" si="9"/>
        <v>23.413154440110716</v>
      </c>
      <c r="P552" s="3">
        <v>333960</v>
      </c>
      <c r="Q552" s="3">
        <v>665106.72060175322</v>
      </c>
      <c r="R552" s="3">
        <v>602275.14489383914</v>
      </c>
      <c r="S552" s="3">
        <v>165784.99963701356</v>
      </c>
      <c r="T552" s="3">
        <v>63119.371026475121</v>
      </c>
      <c r="U552" s="3">
        <v>308200.43068423134</v>
      </c>
      <c r="V552" s="3">
        <v>67574.084835842252</v>
      </c>
      <c r="W552" s="3">
        <v>0</v>
      </c>
      <c r="X552" s="3">
        <v>760686.79432084551</v>
      </c>
      <c r="Y552" s="3">
        <v>0</v>
      </c>
      <c r="Z552" s="3">
        <v>362323.88711653854</v>
      </c>
      <c r="AA552" s="3">
        <v>-362323.88711653854</v>
      </c>
      <c r="AB552" s="3">
        <v>0</v>
      </c>
      <c r="AC552" s="3">
        <v>68985.226267396851</v>
      </c>
      <c r="AD552" s="3">
        <v>-68985.226267396851</v>
      </c>
      <c r="AE552" s="3">
        <v>329377.6809369101</v>
      </c>
      <c r="AF552" s="3">
        <v>0</v>
      </c>
      <c r="AG552" s="3">
        <v>329377.6809369101</v>
      </c>
      <c r="AH552" s="3">
        <v>329377.6809369101</v>
      </c>
      <c r="AI552" s="3">
        <v>10120000.000000002</v>
      </c>
      <c r="AJ552" s="3">
        <v>506000.00000000006</v>
      </c>
    </row>
    <row r="553" spans="1:36" x14ac:dyDescent="0.2">
      <c r="A553" s="3" t="s">
        <v>36</v>
      </c>
      <c r="B553" s="3" t="s">
        <v>37</v>
      </c>
      <c r="C553" s="3" t="s">
        <v>52</v>
      </c>
      <c r="D553" s="3">
        <v>2</v>
      </c>
      <c r="E553" s="3">
        <v>2023</v>
      </c>
      <c r="F553" s="3">
        <v>1</v>
      </c>
      <c r="G553" s="3" t="s">
        <v>48</v>
      </c>
      <c r="H553" s="3" t="s">
        <v>46</v>
      </c>
      <c r="I553" s="5">
        <v>17286753.999999996</v>
      </c>
      <c r="J553" s="3">
        <v>575350.97999999986</v>
      </c>
      <c r="K553" s="3">
        <v>16711403.019999996</v>
      </c>
      <c r="L553" s="3">
        <v>8320988.0009999983</v>
      </c>
      <c r="M553" s="3">
        <v>8390415.0190000013</v>
      </c>
      <c r="N553" s="3">
        <v>2765907.3906962364</v>
      </c>
      <c r="O553" s="3">
        <f t="shared" si="9"/>
        <v>16.551018411715841</v>
      </c>
      <c r="P553" s="3">
        <v>349139.99999999994</v>
      </c>
      <c r="Q553" s="3">
        <v>695338.84426546888</v>
      </c>
      <c r="R553" s="3">
        <v>639716.05426601646</v>
      </c>
      <c r="S553" s="3">
        <v>187807.81551062455</v>
      </c>
      <c r="T553" s="3">
        <v>178051.61912228039</v>
      </c>
      <c r="U553" s="3">
        <v>380494.35503090918</v>
      </c>
      <c r="V553" s="3">
        <v>335358.70250093704</v>
      </c>
      <c r="W553" s="3">
        <v>0</v>
      </c>
      <c r="X553" s="3">
        <v>5624507.6283037625</v>
      </c>
      <c r="Y553" s="3">
        <v>0</v>
      </c>
      <c r="Z553" s="3">
        <v>393434.86732365994</v>
      </c>
      <c r="AA553" s="3">
        <v>-393434.86732365994</v>
      </c>
      <c r="AB553" s="3">
        <v>0</v>
      </c>
      <c r="AC553" s="3">
        <v>100100.42708589055</v>
      </c>
      <c r="AD553" s="3">
        <v>-100100.42708589055</v>
      </c>
      <c r="AE553" s="3">
        <v>5130972.3338942127</v>
      </c>
      <c r="AF553" s="3">
        <v>0</v>
      </c>
      <c r="AG553" s="3">
        <v>5130972.3338942127</v>
      </c>
      <c r="AH553" s="3">
        <v>5130972.3338942127</v>
      </c>
      <c r="AI553" s="3">
        <v>16099999.999999998</v>
      </c>
      <c r="AJ553" s="3">
        <v>805000</v>
      </c>
    </row>
    <row r="554" spans="1:36" x14ac:dyDescent="0.2">
      <c r="A554" s="3" t="s">
        <v>36</v>
      </c>
      <c r="B554" s="3" t="s">
        <v>37</v>
      </c>
      <c r="C554" s="3" t="s">
        <v>52</v>
      </c>
      <c r="D554" s="3">
        <v>1</v>
      </c>
      <c r="E554" s="3">
        <v>2023</v>
      </c>
      <c r="F554" s="3">
        <v>1</v>
      </c>
      <c r="G554" s="3" t="s">
        <v>39</v>
      </c>
      <c r="H554" s="3" t="s">
        <v>46</v>
      </c>
      <c r="I554" s="5">
        <v>166997533.54897547</v>
      </c>
      <c r="J554" s="3">
        <v>0</v>
      </c>
      <c r="K554" s="3">
        <v>166997533.54897547</v>
      </c>
      <c r="L554" s="3">
        <v>166642510.48972273</v>
      </c>
      <c r="M554" s="3">
        <v>355023.05925276951</v>
      </c>
      <c r="N554" s="3">
        <v>572245.83948888211</v>
      </c>
      <c r="O554" s="3">
        <f t="shared" si="9"/>
        <v>0.34266724024463469</v>
      </c>
      <c r="P554" s="3">
        <v>43560</v>
      </c>
      <c r="Q554" s="3">
        <v>16523.207999999999</v>
      </c>
      <c r="R554" s="3">
        <v>394235.75524929585</v>
      </c>
      <c r="S554" s="3">
        <v>70563.703685091605</v>
      </c>
      <c r="T554" s="3">
        <v>7570.2786292177634</v>
      </c>
      <c r="U554" s="3">
        <v>35502.305925276953</v>
      </c>
      <c r="V554" s="3">
        <v>4290.5879999999997</v>
      </c>
      <c r="W554" s="3">
        <v>0</v>
      </c>
      <c r="X554" s="3">
        <v>-217222.78023611262</v>
      </c>
      <c r="Y554" s="3">
        <v>122944.26738240414</v>
      </c>
      <c r="Z554" s="3">
        <v>136124.39208015814</v>
      </c>
      <c r="AA554" s="3">
        <v>-13180.124697754009</v>
      </c>
      <c r="AB554" s="3">
        <v>0</v>
      </c>
      <c r="AC554" s="3">
        <v>0</v>
      </c>
      <c r="AD554" s="3">
        <v>0</v>
      </c>
      <c r="AE554" s="3">
        <v>-230402.90493386664</v>
      </c>
      <c r="AF554" s="3">
        <v>0</v>
      </c>
      <c r="AG554" s="3">
        <v>-230402.90493386664</v>
      </c>
      <c r="AH554" s="3">
        <v>-230402.90493386664</v>
      </c>
      <c r="AI554" s="3">
        <v>436997533.54897547</v>
      </c>
      <c r="AJ554" s="3">
        <v>-22686.97452245004</v>
      </c>
    </row>
    <row r="555" spans="1:36" x14ac:dyDescent="0.2">
      <c r="A555" s="3" t="s">
        <v>36</v>
      </c>
      <c r="B555" s="3" t="s">
        <v>37</v>
      </c>
      <c r="C555" s="3" t="s">
        <v>52</v>
      </c>
      <c r="D555" s="3">
        <v>3</v>
      </c>
      <c r="E555" s="3">
        <v>2023</v>
      </c>
      <c r="F555" s="3">
        <v>1</v>
      </c>
      <c r="G555" s="3" t="s">
        <v>39</v>
      </c>
      <c r="H555" s="3" t="s">
        <v>46</v>
      </c>
      <c r="I555" s="5">
        <v>715006006.04220557</v>
      </c>
      <c r="J555" s="3">
        <v>0</v>
      </c>
      <c r="K555" s="3">
        <v>715006006.04220557</v>
      </c>
      <c r="L555" s="3">
        <v>714139426.39958978</v>
      </c>
      <c r="M555" s="3">
        <v>866579.64261561586</v>
      </c>
      <c r="N555" s="3">
        <v>732143.05418788642</v>
      </c>
      <c r="O555" s="3">
        <f t="shared" si="9"/>
        <v>0.10239676981743692</v>
      </c>
      <c r="P555" s="3">
        <v>43560</v>
      </c>
      <c r="Q555" s="3">
        <v>12422.196000000002</v>
      </c>
      <c r="R555" s="3">
        <v>434357.95590843237</v>
      </c>
      <c r="S555" s="3">
        <v>99183.703685091605</v>
      </c>
      <c r="T555" s="3">
        <v>25509.050332800842</v>
      </c>
      <c r="U555" s="3">
        <v>86657.964261561589</v>
      </c>
      <c r="V555" s="3">
        <v>30452.183999999997</v>
      </c>
      <c r="W555" s="3">
        <v>0</v>
      </c>
      <c r="X555" s="3">
        <v>134436.5884277295</v>
      </c>
      <c r="Y555" s="3">
        <v>485549.86525631486</v>
      </c>
      <c r="Z555" s="3">
        <v>613512.06660263659</v>
      </c>
      <c r="AA555" s="3">
        <v>-127962.20134632183</v>
      </c>
      <c r="AB555" s="3">
        <v>0</v>
      </c>
      <c r="AC555" s="3">
        <v>0</v>
      </c>
      <c r="AD555" s="3">
        <v>0</v>
      </c>
      <c r="AE555" s="3">
        <v>6474.3870814076809</v>
      </c>
      <c r="AF555" s="3">
        <v>0</v>
      </c>
      <c r="AG555" s="3">
        <v>6474.3870814076809</v>
      </c>
      <c r="AH555" s="3">
        <v>6474.3870814076809</v>
      </c>
      <c r="AI555" s="3">
        <v>715006006.04220557</v>
      </c>
      <c r="AJ555" s="3">
        <v>-45373.94904490008</v>
      </c>
    </row>
    <row r="556" spans="1:36" x14ac:dyDescent="0.2">
      <c r="A556" s="3" t="s">
        <v>36</v>
      </c>
      <c r="B556" s="3" t="s">
        <v>37</v>
      </c>
      <c r="C556" s="3" t="s">
        <v>52</v>
      </c>
      <c r="D556" s="3">
        <v>2</v>
      </c>
      <c r="E556" s="3">
        <v>2023</v>
      </c>
      <c r="F556" s="3">
        <v>1</v>
      </c>
      <c r="G556" s="3" t="s">
        <v>39</v>
      </c>
      <c r="H556" s="3" t="s">
        <v>46</v>
      </c>
      <c r="I556" s="5">
        <v>755958996.17829311</v>
      </c>
      <c r="J556" s="3">
        <v>0</v>
      </c>
      <c r="K556" s="3">
        <v>755958996.17829311</v>
      </c>
      <c r="L556" s="3">
        <v>754683614.33776379</v>
      </c>
      <c r="M556" s="3">
        <v>1275381.8405293883</v>
      </c>
      <c r="N556" s="3">
        <v>760380.99225753394</v>
      </c>
      <c r="O556" s="3">
        <f t="shared" si="9"/>
        <v>0.10058495184283751</v>
      </c>
      <c r="P556" s="3">
        <v>45980</v>
      </c>
      <c r="Q556" s="3">
        <v>13112.317999999999</v>
      </c>
      <c r="R556" s="3">
        <v>462676.96071226953</v>
      </c>
      <c r="S556" s="3">
        <v>50201.909445374469</v>
      </c>
      <c r="T556" s="3">
        <v>20697.564046951153</v>
      </c>
      <c r="U556" s="3">
        <v>127538.18405293886</v>
      </c>
      <c r="V556" s="3">
        <v>40174.055999999997</v>
      </c>
      <c r="W556" s="3">
        <v>0</v>
      </c>
      <c r="X556" s="3">
        <v>515000.8482718544</v>
      </c>
      <c r="Y556" s="3">
        <v>339430.62476451253</v>
      </c>
      <c r="Z556" s="3">
        <v>475510.88768696907</v>
      </c>
      <c r="AA556" s="3">
        <v>-136080.26292245649</v>
      </c>
      <c r="AB556" s="3">
        <v>570</v>
      </c>
      <c r="AC556" s="3">
        <v>0</v>
      </c>
      <c r="AD556" s="3">
        <v>570</v>
      </c>
      <c r="AE556" s="3">
        <v>379490.58534939797</v>
      </c>
      <c r="AF556" s="3">
        <v>0</v>
      </c>
      <c r="AG556" s="3">
        <v>379490.58534939797</v>
      </c>
      <c r="AH556" s="3">
        <v>379490.58534939797</v>
      </c>
      <c r="AI556" s="3">
        <v>755958996.17829311</v>
      </c>
      <c r="AJ556" s="3">
        <v>-47894.723991838975</v>
      </c>
    </row>
    <row r="557" spans="1:36" x14ac:dyDescent="0.2">
      <c r="A557" s="3" t="s">
        <v>36</v>
      </c>
      <c r="B557" s="3" t="s">
        <v>37</v>
      </c>
      <c r="C557" s="3" t="s">
        <v>53</v>
      </c>
      <c r="D557" s="3">
        <v>3</v>
      </c>
      <c r="E557" s="3">
        <v>2023</v>
      </c>
      <c r="F557" s="3">
        <v>1</v>
      </c>
      <c r="G557" s="3" t="s">
        <v>42</v>
      </c>
      <c r="H557" s="3" t="s">
        <v>46</v>
      </c>
      <c r="I557" s="5">
        <v>398761</v>
      </c>
      <c r="J557" s="3">
        <v>84386.5</v>
      </c>
      <c r="K557" s="3">
        <v>314374.50000000006</v>
      </c>
      <c r="L557" s="3">
        <v>246296.60000000003</v>
      </c>
      <c r="M557" s="3">
        <v>68077.900000000009</v>
      </c>
      <c r="N557" s="3">
        <v>212171.04067657451</v>
      </c>
      <c r="O557" s="3">
        <f t="shared" si="9"/>
        <v>67.489901590801566</v>
      </c>
      <c r="P557" s="3">
        <v>28320.050000000003</v>
      </c>
      <c r="Q557" s="3">
        <v>0</v>
      </c>
      <c r="R557" s="3">
        <v>78255.130436966167</v>
      </c>
      <c r="S557" s="3">
        <v>98788.070239608365</v>
      </c>
      <c r="T557" s="3">
        <v>0</v>
      </c>
      <c r="U557" s="3">
        <v>6807.79</v>
      </c>
      <c r="V557" s="3">
        <v>0</v>
      </c>
      <c r="W557" s="3">
        <v>0</v>
      </c>
      <c r="X557" s="3">
        <v>-144093.14067657452</v>
      </c>
      <c r="Y557" s="3">
        <v>0</v>
      </c>
      <c r="Z557" s="3">
        <v>11750.90368538168</v>
      </c>
      <c r="AA557" s="3">
        <v>-11750.90368538168</v>
      </c>
      <c r="AB557" s="3">
        <v>0</v>
      </c>
      <c r="AC557" s="3">
        <v>0</v>
      </c>
      <c r="AD557" s="3">
        <v>0</v>
      </c>
      <c r="AE557" s="3">
        <v>-155844.04436195621</v>
      </c>
      <c r="AF557" s="3">
        <v>0</v>
      </c>
      <c r="AG557" s="3">
        <v>-155844.04436195621</v>
      </c>
      <c r="AH557" s="3">
        <v>-155844.04436195621</v>
      </c>
      <c r="AI557" s="3">
        <v>165000.00000000003</v>
      </c>
      <c r="AJ557" s="3">
        <v>1650</v>
      </c>
    </row>
    <row r="558" spans="1:36" x14ac:dyDescent="0.2">
      <c r="A558" s="3" t="s">
        <v>36</v>
      </c>
      <c r="B558" s="3" t="s">
        <v>37</v>
      </c>
      <c r="C558" s="3" t="s">
        <v>53</v>
      </c>
      <c r="D558" s="3">
        <v>1</v>
      </c>
      <c r="E558" s="3">
        <v>2023</v>
      </c>
      <c r="F558" s="3">
        <v>1</v>
      </c>
      <c r="G558" s="3" t="s">
        <v>42</v>
      </c>
      <c r="H558" s="3" t="s">
        <v>46</v>
      </c>
      <c r="I558" s="5">
        <v>927564.00000000012</v>
      </c>
      <c r="J558" s="3">
        <v>0</v>
      </c>
      <c r="K558" s="3">
        <v>927564.00000000012</v>
      </c>
      <c r="L558" s="3">
        <v>556538.40000000014</v>
      </c>
      <c r="M558" s="3">
        <v>371025.6</v>
      </c>
      <c r="N558" s="3">
        <v>263520.02355613973</v>
      </c>
      <c r="O558" s="3">
        <f t="shared" si="9"/>
        <v>28.40990201820464</v>
      </c>
      <c r="P558" s="3">
        <v>56640.100000000006</v>
      </c>
      <c r="Q558" s="3">
        <v>0</v>
      </c>
      <c r="R558" s="3">
        <v>124647.36307692308</v>
      </c>
      <c r="S558" s="3">
        <v>43740.920479216686</v>
      </c>
      <c r="T558" s="3">
        <v>0</v>
      </c>
      <c r="U558" s="3">
        <v>37102.560000000005</v>
      </c>
      <c r="V558" s="3">
        <v>1389.08</v>
      </c>
      <c r="W558" s="3">
        <v>0</v>
      </c>
      <c r="X558" s="3">
        <v>107505.57644386028</v>
      </c>
      <c r="Y558" s="3">
        <v>0</v>
      </c>
      <c r="Z558" s="3">
        <v>24082.401516908012</v>
      </c>
      <c r="AA558" s="3">
        <v>-24082.401516908012</v>
      </c>
      <c r="AB558" s="3">
        <v>0</v>
      </c>
      <c r="AC558" s="3">
        <v>0</v>
      </c>
      <c r="AD558" s="3">
        <v>0</v>
      </c>
      <c r="AE558" s="3">
        <v>83423.174926952284</v>
      </c>
      <c r="AF558" s="3">
        <v>0</v>
      </c>
      <c r="AG558" s="3">
        <v>83423.174926952284</v>
      </c>
      <c r="AH558" s="3">
        <v>83423.174926952284</v>
      </c>
      <c r="AI558" s="3">
        <v>770000</v>
      </c>
      <c r="AJ558" s="3">
        <v>7700.0000000000009</v>
      </c>
    </row>
    <row r="559" spans="1:36" x14ac:dyDescent="0.2">
      <c r="A559" s="3" t="s">
        <v>36</v>
      </c>
      <c r="B559" s="3" t="s">
        <v>37</v>
      </c>
      <c r="C559" s="3" t="s">
        <v>53</v>
      </c>
      <c r="D559" s="3">
        <v>2</v>
      </c>
      <c r="E559" s="3">
        <v>2023</v>
      </c>
      <c r="F559" s="3">
        <v>1</v>
      </c>
      <c r="G559" s="3" t="s">
        <v>42</v>
      </c>
      <c r="H559" s="3" t="s">
        <v>46</v>
      </c>
      <c r="I559" s="5">
        <v>3784673</v>
      </c>
      <c r="J559" s="3">
        <v>115862.5</v>
      </c>
      <c r="K559" s="3">
        <v>3668810.5</v>
      </c>
      <c r="L559" s="3">
        <v>2313123.7999999998</v>
      </c>
      <c r="M559" s="3">
        <v>1355686.7000000002</v>
      </c>
      <c r="N559" s="3">
        <v>431820.21167582436</v>
      </c>
      <c r="O559" s="3">
        <f t="shared" si="9"/>
        <v>11.770033139510049</v>
      </c>
      <c r="P559" s="3">
        <v>59214.65</v>
      </c>
      <c r="Q559" s="3">
        <v>0</v>
      </c>
      <c r="R559" s="3">
        <v>161178.69053846152</v>
      </c>
      <c r="S559" s="3">
        <v>69414.544137362886</v>
      </c>
      <c r="T559" s="3">
        <v>0</v>
      </c>
      <c r="U559" s="3">
        <v>135568.66999999998</v>
      </c>
      <c r="V559" s="3">
        <v>6443.6569999999992</v>
      </c>
      <c r="W559" s="3">
        <v>0</v>
      </c>
      <c r="X559" s="3">
        <v>923866.48832417559</v>
      </c>
      <c r="Y559" s="3">
        <v>0</v>
      </c>
      <c r="Z559" s="3">
        <v>25177.056131312915</v>
      </c>
      <c r="AA559" s="3">
        <v>-25177.056131312915</v>
      </c>
      <c r="AB559" s="3">
        <v>0</v>
      </c>
      <c r="AC559" s="3">
        <v>0</v>
      </c>
      <c r="AD559" s="3">
        <v>0</v>
      </c>
      <c r="AE559" s="3">
        <v>898689.43219286262</v>
      </c>
      <c r="AF559" s="3">
        <v>0</v>
      </c>
      <c r="AG559" s="3">
        <v>898689.43219286262</v>
      </c>
      <c r="AH559" s="3">
        <v>898689.43219286262</v>
      </c>
      <c r="AI559" s="3">
        <v>4599999.9999999991</v>
      </c>
      <c r="AJ559" s="3">
        <v>46000</v>
      </c>
    </row>
    <row r="560" spans="1:36" x14ac:dyDescent="0.2">
      <c r="A560" s="3" t="s">
        <v>36</v>
      </c>
      <c r="B560" s="3" t="s">
        <v>37</v>
      </c>
      <c r="C560" s="3" t="s">
        <v>53</v>
      </c>
      <c r="D560" s="3">
        <v>3</v>
      </c>
      <c r="E560" s="3">
        <v>2023</v>
      </c>
      <c r="F560" s="3">
        <v>1</v>
      </c>
      <c r="G560" s="3" t="s">
        <v>48</v>
      </c>
      <c r="H560" s="3" t="s">
        <v>46</v>
      </c>
      <c r="I560" s="5">
        <v>13132670.231999999</v>
      </c>
      <c r="J560" s="3">
        <v>647809.38199999998</v>
      </c>
      <c r="K560" s="3">
        <v>12484860.85</v>
      </c>
      <c r="L560" s="3">
        <v>8829737.8840000015</v>
      </c>
      <c r="M560" s="3">
        <v>3655122.966</v>
      </c>
      <c r="N560" s="3">
        <v>3477104.6282694098</v>
      </c>
      <c r="O560" s="3">
        <f t="shared" si="9"/>
        <v>27.850567739963317</v>
      </c>
      <c r="P560" s="3">
        <v>1158187.8</v>
      </c>
      <c r="Q560" s="3">
        <v>349204.28706719627</v>
      </c>
      <c r="R560" s="3">
        <v>836939.67494188226</v>
      </c>
      <c r="S560" s="3">
        <v>224828.50896675602</v>
      </c>
      <c r="T560" s="3">
        <v>397315.48984200082</v>
      </c>
      <c r="U560" s="3">
        <v>334857.36700099724</v>
      </c>
      <c r="V560" s="3">
        <v>175771.50045057741</v>
      </c>
      <c r="W560" s="3">
        <v>0</v>
      </c>
      <c r="X560" s="3">
        <v>178018.33773059011</v>
      </c>
      <c r="Y560" s="3">
        <v>0</v>
      </c>
      <c r="Z560" s="3">
        <v>368479.86098938412</v>
      </c>
      <c r="AA560" s="3">
        <v>-368479.86098938412</v>
      </c>
      <c r="AB560" s="3">
        <v>0</v>
      </c>
      <c r="AC560" s="3">
        <v>119457.14172771719</v>
      </c>
      <c r="AD560" s="3">
        <v>-119457.14172771719</v>
      </c>
      <c r="AE560" s="3">
        <v>-309918.66498651117</v>
      </c>
      <c r="AF560" s="3">
        <v>0</v>
      </c>
      <c r="AG560" s="3">
        <v>-309918.66498651117</v>
      </c>
      <c r="AH560" s="3">
        <v>-309918.66498651117</v>
      </c>
      <c r="AI560" s="3">
        <v>16500000.000000002</v>
      </c>
      <c r="AJ560" s="3">
        <v>825000</v>
      </c>
    </row>
    <row r="561" spans="1:36" x14ac:dyDescent="0.2">
      <c r="A561" s="3" t="s">
        <v>36</v>
      </c>
      <c r="B561" s="3" t="s">
        <v>37</v>
      </c>
      <c r="C561" s="3" t="s">
        <v>53</v>
      </c>
      <c r="D561" s="3">
        <v>1</v>
      </c>
      <c r="E561" s="3">
        <v>2023</v>
      </c>
      <c r="F561" s="3">
        <v>1</v>
      </c>
      <c r="G561" s="3" t="s">
        <v>48</v>
      </c>
      <c r="H561" s="3" t="s">
        <v>46</v>
      </c>
      <c r="I561" s="5">
        <v>14677487</v>
      </c>
      <c r="J561" s="3">
        <v>871765.39999999991</v>
      </c>
      <c r="K561" s="3">
        <v>13805721.6</v>
      </c>
      <c r="L561" s="3">
        <v>9256837.3259999994</v>
      </c>
      <c r="M561" s="3">
        <v>4548884.2740000002</v>
      </c>
      <c r="N561" s="3">
        <v>3201070.1176698813</v>
      </c>
      <c r="O561" s="3">
        <f t="shared" si="9"/>
        <v>23.186546928991248</v>
      </c>
      <c r="P561" s="3">
        <v>1158187.8</v>
      </c>
      <c r="Q561" s="3">
        <v>349204.28706719627</v>
      </c>
      <c r="R561" s="3">
        <v>703939.63290581084</v>
      </c>
      <c r="S561" s="3">
        <v>239154.5005730546</v>
      </c>
      <c r="T561" s="3">
        <v>95582.143348313766</v>
      </c>
      <c r="U561" s="3">
        <v>466710.25497570366</v>
      </c>
      <c r="V561" s="3">
        <v>188291.49879980233</v>
      </c>
      <c r="W561" s="3">
        <v>0</v>
      </c>
      <c r="X561" s="3">
        <v>1347814.1563301189</v>
      </c>
      <c r="Y561" s="3">
        <v>0</v>
      </c>
      <c r="Z561" s="3">
        <v>381995.30792548734</v>
      </c>
      <c r="AA561" s="3">
        <v>-381995.30792548734</v>
      </c>
      <c r="AB561" s="3">
        <v>0</v>
      </c>
      <c r="AC561" s="3">
        <v>104464.85252903533</v>
      </c>
      <c r="AD561" s="3">
        <v>-104464.85252903533</v>
      </c>
      <c r="AE561" s="3">
        <v>861353.99587559642</v>
      </c>
      <c r="AF561" s="3">
        <v>0</v>
      </c>
      <c r="AG561" s="3">
        <v>861353.99587559642</v>
      </c>
      <c r="AH561" s="3">
        <v>861353.99587559642</v>
      </c>
      <c r="AI561" s="3">
        <v>8800000.0000000019</v>
      </c>
      <c r="AJ561" s="3">
        <v>440000</v>
      </c>
    </row>
    <row r="562" spans="1:36" x14ac:dyDescent="0.2">
      <c r="A562" s="3" t="s">
        <v>36</v>
      </c>
      <c r="B562" s="3" t="s">
        <v>37</v>
      </c>
      <c r="C562" s="3" t="s">
        <v>53</v>
      </c>
      <c r="D562" s="3">
        <v>2</v>
      </c>
      <c r="E562" s="3">
        <v>2023</v>
      </c>
      <c r="F562" s="3">
        <v>1</v>
      </c>
      <c r="G562" s="3" t="s">
        <v>48</v>
      </c>
      <c r="H562" s="3" t="s">
        <v>46</v>
      </c>
      <c r="I562" s="5">
        <v>51336121.408</v>
      </c>
      <c r="J562" s="3">
        <v>2739806.8880000003</v>
      </c>
      <c r="K562" s="3">
        <v>48596314.519999996</v>
      </c>
      <c r="L562" s="3">
        <v>31539298.335999999</v>
      </c>
      <c r="M562" s="3">
        <v>17057016.184</v>
      </c>
      <c r="N562" s="3">
        <v>7584248.6398593755</v>
      </c>
      <c r="O562" s="3">
        <f t="shared" si="9"/>
        <v>15.606633372862152</v>
      </c>
      <c r="P562" s="3">
        <v>2737534.8</v>
      </c>
      <c r="Q562" s="3">
        <v>825391.95124973671</v>
      </c>
      <c r="R562" s="3">
        <v>1123087.9922923008</v>
      </c>
      <c r="S562" s="3">
        <v>571938.85168369918</v>
      </c>
      <c r="T562" s="3">
        <v>528756.26830533729</v>
      </c>
      <c r="U562" s="3">
        <v>1129946.3395456087</v>
      </c>
      <c r="V562" s="3">
        <v>667592.43678269314</v>
      </c>
      <c r="W562" s="3">
        <v>0</v>
      </c>
      <c r="X562" s="3">
        <v>9472767.5441406257</v>
      </c>
      <c r="Y562" s="3">
        <v>0</v>
      </c>
      <c r="Z562" s="3">
        <v>892739.11012138613</v>
      </c>
      <c r="AA562" s="3">
        <v>-892739.11012138613</v>
      </c>
      <c r="AB562" s="3">
        <v>0</v>
      </c>
      <c r="AC562" s="3">
        <v>297266.20034472231</v>
      </c>
      <c r="AD562" s="3">
        <v>-297266.20034472231</v>
      </c>
      <c r="AE562" s="3">
        <v>8282762.2336745169</v>
      </c>
      <c r="AF562" s="3">
        <v>0</v>
      </c>
      <c r="AG562" s="3">
        <v>8282762.2336745169</v>
      </c>
      <c r="AH562" s="3">
        <v>8282762.2336745169</v>
      </c>
      <c r="AI562" s="3">
        <v>23400000</v>
      </c>
      <c r="AJ562" s="3">
        <v>1170000</v>
      </c>
    </row>
    <row r="563" spans="1:36" x14ac:dyDescent="0.2">
      <c r="A563" s="3" t="s">
        <v>36</v>
      </c>
      <c r="B563" s="3" t="s">
        <v>37</v>
      </c>
      <c r="C563" s="3" t="s">
        <v>53</v>
      </c>
      <c r="D563" s="3">
        <v>1</v>
      </c>
      <c r="E563" s="3">
        <v>2023</v>
      </c>
      <c r="F563" s="3">
        <v>1</v>
      </c>
      <c r="G563" s="3" t="s">
        <v>39</v>
      </c>
      <c r="H563" s="3" t="s">
        <v>46</v>
      </c>
      <c r="I563" s="5">
        <v>626543131.62601447</v>
      </c>
      <c r="J563" s="3">
        <v>0</v>
      </c>
      <c r="K563" s="3">
        <v>626543131.62601447</v>
      </c>
      <c r="L563" s="3">
        <v>625211152.31699991</v>
      </c>
      <c r="M563" s="3">
        <v>1331979.3090145225</v>
      </c>
      <c r="N563" s="3">
        <v>1340883.3225647477</v>
      </c>
      <c r="O563" s="3">
        <f t="shared" si="9"/>
        <v>0.21401293141381444</v>
      </c>
      <c r="P563" s="3">
        <v>33843.15</v>
      </c>
      <c r="Q563" s="3">
        <v>18633.294000000002</v>
      </c>
      <c r="R563" s="3">
        <v>992972.22773246013</v>
      </c>
      <c r="S563" s="3">
        <v>132555.88264103956</v>
      </c>
      <c r="T563" s="3">
        <v>28402.252289795499</v>
      </c>
      <c r="U563" s="3">
        <v>133197.93090145229</v>
      </c>
      <c r="V563" s="3">
        <v>1278.5850000000003</v>
      </c>
      <c r="W563" s="3">
        <v>0</v>
      </c>
      <c r="X563" s="3">
        <v>-8904.0135502249886</v>
      </c>
      <c r="Y563" s="3">
        <v>461263.6166787874</v>
      </c>
      <c r="Z563" s="3">
        <v>510712.94941956317</v>
      </c>
      <c r="AA563" s="3">
        <v>-49449.332740775862</v>
      </c>
      <c r="AB563" s="3">
        <v>0</v>
      </c>
      <c r="AC563" s="3">
        <v>0</v>
      </c>
      <c r="AD563" s="3">
        <v>0</v>
      </c>
      <c r="AE563" s="3">
        <v>-58353.346291000846</v>
      </c>
      <c r="AF563" s="3">
        <v>0</v>
      </c>
      <c r="AG563" s="3">
        <v>-58353.346291000846</v>
      </c>
      <c r="AH563" s="3">
        <v>-58353.346291000846</v>
      </c>
      <c r="AI563" s="3">
        <v>2651543131.6260142</v>
      </c>
      <c r="AJ563" s="3">
        <v>56275.761976614456</v>
      </c>
    </row>
    <row r="564" spans="1:36" x14ac:dyDescent="0.2">
      <c r="A564" s="3" t="s">
        <v>36</v>
      </c>
      <c r="B564" s="3" t="s">
        <v>37</v>
      </c>
      <c r="C564" s="3" t="s">
        <v>53</v>
      </c>
      <c r="D564" s="3">
        <v>3</v>
      </c>
      <c r="E564" s="3">
        <v>2023</v>
      </c>
      <c r="F564" s="3">
        <v>1</v>
      </c>
      <c r="G564" s="3" t="s">
        <v>39</v>
      </c>
      <c r="H564" s="3" t="s">
        <v>46</v>
      </c>
      <c r="I564" s="5">
        <v>631747784.75391877</v>
      </c>
      <c r="J564" s="3">
        <v>0</v>
      </c>
      <c r="K564" s="3">
        <v>631747784.75391877</v>
      </c>
      <c r="L564" s="3">
        <v>630982113.18625498</v>
      </c>
      <c r="M564" s="3">
        <v>765671.56766372675</v>
      </c>
      <c r="N564" s="3">
        <v>698733.66422646097</v>
      </c>
      <c r="O564" s="3">
        <f t="shared" si="9"/>
        <v>0.11060326305673313</v>
      </c>
      <c r="P564" s="3">
        <v>15041.400000000001</v>
      </c>
      <c r="Q564" s="3">
        <v>13271.831999999999</v>
      </c>
      <c r="R564" s="3">
        <v>486804.87757512636</v>
      </c>
      <c r="S564" s="3">
        <v>84509.725618239783</v>
      </c>
      <c r="T564" s="3">
        <v>22538.672266722038</v>
      </c>
      <c r="U564" s="3">
        <v>76567.156766372675</v>
      </c>
      <c r="V564" s="3">
        <v>0</v>
      </c>
      <c r="W564" s="3">
        <v>0</v>
      </c>
      <c r="X564" s="3">
        <v>66937.903437265908</v>
      </c>
      <c r="Y564" s="3">
        <v>429010.45469698333</v>
      </c>
      <c r="Z564" s="3">
        <v>542072.21438799473</v>
      </c>
      <c r="AA564" s="3">
        <v>-113061.75969101132</v>
      </c>
      <c r="AB564" s="3">
        <v>120</v>
      </c>
      <c r="AC564" s="3">
        <v>0</v>
      </c>
      <c r="AD564" s="3">
        <v>120</v>
      </c>
      <c r="AE564" s="3">
        <v>-46003.856253745435</v>
      </c>
      <c r="AF564" s="3">
        <v>0</v>
      </c>
      <c r="AG564" s="3">
        <v>-46003.856253745435</v>
      </c>
      <c r="AH564" s="3">
        <v>-46003.856253745435</v>
      </c>
      <c r="AI564" s="3">
        <v>631747784.75391877</v>
      </c>
      <c r="AJ564" s="3">
        <v>41685.749612307001</v>
      </c>
    </row>
    <row r="565" spans="1:36" x14ac:dyDescent="0.2">
      <c r="A565" s="3" t="s">
        <v>36</v>
      </c>
      <c r="B565" s="3" t="s">
        <v>37</v>
      </c>
      <c r="C565" s="3" t="s">
        <v>53</v>
      </c>
      <c r="D565" s="3">
        <v>2</v>
      </c>
      <c r="E565" s="3">
        <v>2023</v>
      </c>
      <c r="F565" s="3">
        <v>1</v>
      </c>
      <c r="G565" s="3" t="s">
        <v>39</v>
      </c>
      <c r="H565" s="3" t="s">
        <v>46</v>
      </c>
      <c r="I565" s="5">
        <v>966853069.93328238</v>
      </c>
      <c r="J565" s="3">
        <v>0</v>
      </c>
      <c r="K565" s="3">
        <v>966853069.93328238</v>
      </c>
      <c r="L565" s="3">
        <v>965221887.74736118</v>
      </c>
      <c r="M565" s="3">
        <v>1631182.1859213638</v>
      </c>
      <c r="N565" s="3">
        <v>889191.63489887025</v>
      </c>
      <c r="O565" s="3">
        <f t="shared" si="9"/>
        <v>9.1967607338747856E-2</v>
      </c>
      <c r="P565" s="3">
        <v>18801.75</v>
      </c>
      <c r="Q565" s="3">
        <v>16589.79</v>
      </c>
      <c r="R565" s="3">
        <v>614600.0810049501</v>
      </c>
      <c r="S565" s="3">
        <v>47272.157022799744</v>
      </c>
      <c r="T565" s="3">
        <v>26471.678278983982</v>
      </c>
      <c r="U565" s="3">
        <v>163118.21859213637</v>
      </c>
      <c r="V565" s="3">
        <v>2337.96</v>
      </c>
      <c r="W565" s="3">
        <v>0</v>
      </c>
      <c r="X565" s="3">
        <v>741990.55102249363</v>
      </c>
      <c r="Y565" s="3">
        <v>434123.46865641337</v>
      </c>
      <c r="Z565" s="3">
        <v>608166.79723514302</v>
      </c>
      <c r="AA565" s="3">
        <v>-174043.32857872959</v>
      </c>
      <c r="AB565" s="3">
        <v>975</v>
      </c>
      <c r="AC565" s="3">
        <v>0</v>
      </c>
      <c r="AD565" s="3">
        <v>975</v>
      </c>
      <c r="AE565" s="3">
        <v>568922.22244376387</v>
      </c>
      <c r="AF565" s="3">
        <v>0</v>
      </c>
      <c r="AG565" s="3">
        <v>568922.22244376387</v>
      </c>
      <c r="AH565" s="3">
        <v>568922.22244376387</v>
      </c>
      <c r="AI565" s="3">
        <v>966853069.93328238</v>
      </c>
      <c r="AJ565" s="3">
        <v>52107.187015383744</v>
      </c>
    </row>
    <row r="566" spans="1:36" x14ac:dyDescent="0.2">
      <c r="A566" s="3" t="s">
        <v>36</v>
      </c>
      <c r="B566" s="3" t="s">
        <v>37</v>
      </c>
      <c r="C566" s="3" t="s">
        <v>54</v>
      </c>
      <c r="D566" s="3">
        <v>3</v>
      </c>
      <c r="E566" s="3">
        <v>2023</v>
      </c>
      <c r="F566" s="3">
        <v>1</v>
      </c>
      <c r="G566" s="3" t="s">
        <v>42</v>
      </c>
      <c r="H566" s="3" t="s">
        <v>46</v>
      </c>
      <c r="I566" s="5">
        <v>87600</v>
      </c>
      <c r="J566" s="3">
        <v>6825</v>
      </c>
      <c r="K566" s="3">
        <v>80775</v>
      </c>
      <c r="L566" s="3">
        <v>52560</v>
      </c>
      <c r="M566" s="3">
        <v>28215</v>
      </c>
      <c r="N566" s="3">
        <v>20782.5</v>
      </c>
      <c r="O566" s="3">
        <f t="shared" si="9"/>
        <v>25.728876508820797</v>
      </c>
      <c r="P566" s="3">
        <v>0</v>
      </c>
      <c r="Q566" s="3">
        <v>0</v>
      </c>
      <c r="R566" s="3">
        <v>0</v>
      </c>
      <c r="S566" s="3">
        <v>17961</v>
      </c>
      <c r="T566" s="3">
        <v>0</v>
      </c>
      <c r="U566" s="3">
        <v>2821.5</v>
      </c>
      <c r="V566" s="3">
        <v>0</v>
      </c>
      <c r="W566" s="3">
        <v>0</v>
      </c>
      <c r="X566" s="3">
        <v>7432.5</v>
      </c>
      <c r="Y566" s="3">
        <v>0</v>
      </c>
      <c r="Z566" s="3">
        <v>72705.848415503555</v>
      </c>
      <c r="AA566" s="3">
        <v>-72705.848415503555</v>
      </c>
      <c r="AB566" s="3">
        <v>0</v>
      </c>
      <c r="AC566" s="3">
        <v>0</v>
      </c>
      <c r="AD566" s="3">
        <v>0</v>
      </c>
      <c r="AE566" s="3">
        <v>-65273.348415503562</v>
      </c>
      <c r="AF566" s="3">
        <v>0</v>
      </c>
      <c r="AG566" s="3">
        <v>-65273.348415503562</v>
      </c>
      <c r="AH566" s="3">
        <v>-65273.348415503562</v>
      </c>
      <c r="AI566" s="3">
        <v>0</v>
      </c>
      <c r="AJ566" s="3">
        <v>0</v>
      </c>
    </row>
    <row r="567" spans="1:36" x14ac:dyDescent="0.2">
      <c r="A567" s="3" t="s">
        <v>36</v>
      </c>
      <c r="B567" s="3" t="s">
        <v>37</v>
      </c>
      <c r="C567" s="3" t="s">
        <v>54</v>
      </c>
      <c r="D567" s="3">
        <v>1</v>
      </c>
      <c r="E567" s="3">
        <v>2023</v>
      </c>
      <c r="F567" s="3">
        <v>1</v>
      </c>
      <c r="G567" s="3" t="s">
        <v>42</v>
      </c>
      <c r="H567" s="3" t="s">
        <v>46</v>
      </c>
      <c r="I567" s="5">
        <v>178200</v>
      </c>
      <c r="J567" s="3">
        <v>0</v>
      </c>
      <c r="K567" s="3">
        <v>178200</v>
      </c>
      <c r="L567" s="3">
        <v>113400</v>
      </c>
      <c r="M567" s="3">
        <v>64800</v>
      </c>
      <c r="N567" s="3">
        <v>6723</v>
      </c>
      <c r="O567" s="3">
        <f t="shared" si="9"/>
        <v>3.7727272727272729</v>
      </c>
      <c r="P567" s="3">
        <v>0</v>
      </c>
      <c r="Q567" s="3">
        <v>0</v>
      </c>
      <c r="R567" s="3">
        <v>0</v>
      </c>
      <c r="S567" s="3">
        <v>243</v>
      </c>
      <c r="T567" s="3">
        <v>0</v>
      </c>
      <c r="U567" s="3">
        <v>6480</v>
      </c>
      <c r="V567" s="3">
        <v>0</v>
      </c>
      <c r="W567" s="3">
        <v>0</v>
      </c>
      <c r="X567" s="3">
        <v>58077</v>
      </c>
      <c r="Y567" s="3">
        <v>0</v>
      </c>
      <c r="Z567" s="3">
        <v>65375.753400000016</v>
      </c>
      <c r="AA567" s="3">
        <v>-65375.753400000016</v>
      </c>
      <c r="AB567" s="3">
        <v>0</v>
      </c>
      <c r="AC567" s="3">
        <v>0</v>
      </c>
      <c r="AD567" s="3">
        <v>0</v>
      </c>
      <c r="AE567" s="3">
        <v>-7298.7534000000051</v>
      </c>
      <c r="AF567" s="3">
        <v>0</v>
      </c>
      <c r="AG567" s="3">
        <v>-7298.7534000000051</v>
      </c>
      <c r="AH567" s="3">
        <v>-7298.7534000000051</v>
      </c>
      <c r="AI567" s="3">
        <v>0</v>
      </c>
      <c r="AJ567" s="3">
        <v>0</v>
      </c>
    </row>
    <row r="568" spans="1:36" x14ac:dyDescent="0.2">
      <c r="A568" s="3" t="s">
        <v>36</v>
      </c>
      <c r="B568" s="3" t="s">
        <v>37</v>
      </c>
      <c r="C568" s="3" t="s">
        <v>54</v>
      </c>
      <c r="D568" s="3">
        <v>2</v>
      </c>
      <c r="E568" s="3">
        <v>2023</v>
      </c>
      <c r="F568" s="3">
        <v>1</v>
      </c>
      <c r="G568" s="3" t="s">
        <v>42</v>
      </c>
      <c r="H568" s="3" t="s">
        <v>46</v>
      </c>
      <c r="I568" s="5">
        <v>207230</v>
      </c>
      <c r="J568" s="3">
        <v>3672</v>
      </c>
      <c r="K568" s="3">
        <v>203558</v>
      </c>
      <c r="L568" s="3">
        <v>124338</v>
      </c>
      <c r="M568" s="3">
        <v>79220</v>
      </c>
      <c r="N568" s="3">
        <v>13532</v>
      </c>
      <c r="O568" s="3">
        <f t="shared" si="9"/>
        <v>6.6477367629864714</v>
      </c>
      <c r="P568" s="3">
        <v>0</v>
      </c>
      <c r="Q568" s="3">
        <v>0</v>
      </c>
      <c r="R568" s="3">
        <v>0</v>
      </c>
      <c r="S568" s="3">
        <v>5610</v>
      </c>
      <c r="T568" s="3">
        <v>0</v>
      </c>
      <c r="U568" s="3">
        <v>7922</v>
      </c>
      <c r="V568" s="3">
        <v>0</v>
      </c>
      <c r="W568" s="3">
        <v>0</v>
      </c>
      <c r="X568" s="3">
        <v>65688</v>
      </c>
      <c r="Y568" s="3">
        <v>0</v>
      </c>
      <c r="Z568" s="3">
        <v>41162.511400000003</v>
      </c>
      <c r="AA568" s="3">
        <v>-41162.511400000003</v>
      </c>
      <c r="AB568" s="3">
        <v>0</v>
      </c>
      <c r="AC568" s="3">
        <v>0</v>
      </c>
      <c r="AD568" s="3">
        <v>0</v>
      </c>
      <c r="AE568" s="3">
        <v>24525.488599999993</v>
      </c>
      <c r="AF568" s="3">
        <v>0</v>
      </c>
      <c r="AG568" s="3">
        <v>24525.488599999993</v>
      </c>
      <c r="AH568" s="3">
        <v>24525.488599999993</v>
      </c>
      <c r="AI568" s="3">
        <v>0</v>
      </c>
      <c r="AJ568" s="3">
        <v>0</v>
      </c>
    </row>
    <row r="569" spans="1:36" x14ac:dyDescent="0.2">
      <c r="A569" s="3" t="s">
        <v>36</v>
      </c>
      <c r="B569" s="3" t="s">
        <v>37</v>
      </c>
      <c r="C569" s="3" t="s">
        <v>54</v>
      </c>
      <c r="D569" s="3">
        <v>3</v>
      </c>
      <c r="E569" s="3">
        <v>2023</v>
      </c>
      <c r="F569" s="3">
        <v>1</v>
      </c>
      <c r="G569" s="3" t="s">
        <v>48</v>
      </c>
      <c r="H569" s="3" t="s">
        <v>46</v>
      </c>
      <c r="I569" s="5">
        <v>4441832.7</v>
      </c>
      <c r="J569" s="3">
        <v>84364.2</v>
      </c>
      <c r="K569" s="3">
        <v>4357468.5</v>
      </c>
      <c r="L569" s="3">
        <v>2941289.73</v>
      </c>
      <c r="M569" s="3">
        <v>1416178.77</v>
      </c>
      <c r="N569" s="3">
        <v>3104813.796056299</v>
      </c>
      <c r="O569" s="3">
        <f t="shared" si="9"/>
        <v>71.25269628584347</v>
      </c>
      <c r="P569" s="3">
        <v>1361250</v>
      </c>
      <c r="Q569" s="3">
        <v>427615.99008158891</v>
      </c>
      <c r="R569" s="3">
        <v>945138.75196517655</v>
      </c>
      <c r="S569" s="3">
        <v>95575.444865497469</v>
      </c>
      <c r="T569" s="3">
        <v>134383.09984335536</v>
      </c>
      <c r="U569" s="3">
        <v>113258.03330968237</v>
      </c>
      <c r="V569" s="3">
        <v>27592.475990997664</v>
      </c>
      <c r="W569" s="3">
        <v>0</v>
      </c>
      <c r="X569" s="3">
        <v>-1688635.0260562985</v>
      </c>
      <c r="Y569" s="3">
        <v>0</v>
      </c>
      <c r="Z569" s="3">
        <v>277991.32232215727</v>
      </c>
      <c r="AA569" s="3">
        <v>-277991.32232215727</v>
      </c>
      <c r="AB569" s="3">
        <v>0</v>
      </c>
      <c r="AC569" s="3">
        <v>40403.712954109658</v>
      </c>
      <c r="AD569" s="3">
        <v>-40403.712954109658</v>
      </c>
      <c r="AE569" s="3">
        <v>-2007030.0613325657</v>
      </c>
      <c r="AF569" s="3">
        <v>0</v>
      </c>
      <c r="AG569" s="3">
        <v>-2007030.0613325657</v>
      </c>
      <c r="AH569" s="3">
        <v>-2007030.0613325657</v>
      </c>
      <c r="AI569" s="3">
        <v>9000000</v>
      </c>
      <c r="AJ569" s="3">
        <v>450000</v>
      </c>
    </row>
    <row r="570" spans="1:36" x14ac:dyDescent="0.2">
      <c r="A570" s="3" t="s">
        <v>36</v>
      </c>
      <c r="B570" s="3" t="s">
        <v>37</v>
      </c>
      <c r="C570" s="3" t="s">
        <v>54</v>
      </c>
      <c r="D570" s="3">
        <v>2</v>
      </c>
      <c r="E570" s="3">
        <v>2023</v>
      </c>
      <c r="F570" s="3">
        <v>1</v>
      </c>
      <c r="G570" s="3" t="s">
        <v>48</v>
      </c>
      <c r="H570" s="3" t="s">
        <v>46</v>
      </c>
      <c r="I570" s="5">
        <v>4596383</v>
      </c>
      <c r="J570" s="3">
        <v>139827.82</v>
      </c>
      <c r="K570" s="3">
        <v>4456555.1800000006</v>
      </c>
      <c r="L570" s="3">
        <v>2999815.3020000001</v>
      </c>
      <c r="M570" s="3">
        <v>1456739.878</v>
      </c>
      <c r="N570" s="3">
        <v>1270460.1495343402</v>
      </c>
      <c r="O570" s="3">
        <f t="shared" si="9"/>
        <v>28.507672366223009</v>
      </c>
      <c r="P570" s="3">
        <v>499125.00000000006</v>
      </c>
      <c r="Q570" s="3">
        <v>156792.52969658261</v>
      </c>
      <c r="R570" s="3">
        <v>284113.07332430372</v>
      </c>
      <c r="S570" s="3">
        <v>67467.161766621182</v>
      </c>
      <c r="T570" s="3">
        <v>47342.227190606442</v>
      </c>
      <c r="U570" s="3">
        <v>101169.81968159179</v>
      </c>
      <c r="V570" s="3">
        <v>114450.33787463457</v>
      </c>
      <c r="W570" s="3">
        <v>0</v>
      </c>
      <c r="X570" s="3">
        <v>186279.72846565986</v>
      </c>
      <c r="Y570" s="3">
        <v>0</v>
      </c>
      <c r="Z570" s="3">
        <v>126997.04668770872</v>
      </c>
      <c r="AA570" s="3">
        <v>-126997.04668770872</v>
      </c>
      <c r="AB570" s="3">
        <v>0</v>
      </c>
      <c r="AC570" s="3">
        <v>26615.748760601728</v>
      </c>
      <c r="AD570" s="3">
        <v>-26615.748760601728</v>
      </c>
      <c r="AE570" s="3">
        <v>32666.933017349442</v>
      </c>
      <c r="AF570" s="3">
        <v>0</v>
      </c>
      <c r="AG570" s="3">
        <v>32666.933017349442</v>
      </c>
      <c r="AH570" s="3">
        <v>32666.933017349442</v>
      </c>
      <c r="AI570" s="3">
        <v>3850000.0000000005</v>
      </c>
      <c r="AJ570" s="3">
        <v>192500</v>
      </c>
    </row>
    <row r="571" spans="1:36" x14ac:dyDescent="0.2">
      <c r="A571" s="3" t="s">
        <v>36</v>
      </c>
      <c r="B571" s="3" t="s">
        <v>37</v>
      </c>
      <c r="C571" s="3" t="s">
        <v>54</v>
      </c>
      <c r="D571" s="3">
        <v>1</v>
      </c>
      <c r="E571" s="3">
        <v>2023</v>
      </c>
      <c r="F571" s="3">
        <v>1</v>
      </c>
      <c r="G571" s="3" t="s">
        <v>48</v>
      </c>
      <c r="H571" s="3" t="s">
        <v>46</v>
      </c>
      <c r="I571" s="5">
        <v>4618188</v>
      </c>
      <c r="J571" s="3">
        <v>94158</v>
      </c>
      <c r="K571" s="3">
        <v>4524030</v>
      </c>
      <c r="L571" s="3">
        <v>3095948.3220000002</v>
      </c>
      <c r="M571" s="3">
        <v>1428081.6780000003</v>
      </c>
      <c r="N571" s="3">
        <v>1960182.706152732</v>
      </c>
      <c r="O571" s="3">
        <f t="shared" si="9"/>
        <v>43.328242875328677</v>
      </c>
      <c r="P571" s="3">
        <v>816750</v>
      </c>
      <c r="Q571" s="3">
        <v>256569.59404895341</v>
      </c>
      <c r="R571" s="3">
        <v>561313.25527456694</v>
      </c>
      <c r="S571" s="3">
        <v>105752.06686056123</v>
      </c>
      <c r="T571" s="3">
        <v>30074.379042234039</v>
      </c>
      <c r="U571" s="3">
        <v>146847.73347138611</v>
      </c>
      <c r="V571" s="3">
        <v>42875.677455030134</v>
      </c>
      <c r="W571" s="3">
        <v>0</v>
      </c>
      <c r="X571" s="3">
        <v>-532101.02815273206</v>
      </c>
      <c r="Y571" s="3">
        <v>0</v>
      </c>
      <c r="Z571" s="3">
        <v>170654.08026325397</v>
      </c>
      <c r="AA571" s="3">
        <v>-170654.08026325397</v>
      </c>
      <c r="AB571" s="3">
        <v>0</v>
      </c>
      <c r="AC571" s="3">
        <v>32869.273082739608</v>
      </c>
      <c r="AD571" s="3">
        <v>-32869.273082739608</v>
      </c>
      <c r="AE571" s="3">
        <v>-735624.38149872562</v>
      </c>
      <c r="AF571" s="3">
        <v>0</v>
      </c>
      <c r="AG571" s="3">
        <v>-735624.38149872562</v>
      </c>
      <c r="AH571" s="3">
        <v>-735624.38149872562</v>
      </c>
      <c r="AI571" s="3">
        <v>7740000</v>
      </c>
      <c r="AJ571" s="3">
        <v>387000</v>
      </c>
    </row>
    <row r="572" spans="1:36" x14ac:dyDescent="0.2">
      <c r="A572" s="3" t="s">
        <v>36</v>
      </c>
      <c r="B572" s="3" t="s">
        <v>37</v>
      </c>
      <c r="C572" s="3" t="s">
        <v>54</v>
      </c>
      <c r="D572" s="3">
        <v>3</v>
      </c>
      <c r="E572" s="3">
        <v>2023</v>
      </c>
      <c r="F572" s="3">
        <v>1</v>
      </c>
      <c r="G572" s="3" t="s">
        <v>39</v>
      </c>
      <c r="H572" s="3" t="s">
        <v>46</v>
      </c>
      <c r="I572" s="5">
        <v>232168274.88155785</v>
      </c>
      <c r="J572" s="3">
        <v>0</v>
      </c>
      <c r="K572" s="3">
        <v>232168274.88155785</v>
      </c>
      <c r="L572" s="3">
        <v>231886889.41210255</v>
      </c>
      <c r="M572" s="3">
        <v>281385.46945529938</v>
      </c>
      <c r="N572" s="3">
        <v>445536.90108250955</v>
      </c>
      <c r="O572" s="3">
        <f t="shared" si="9"/>
        <v>0.19190257640058836</v>
      </c>
      <c r="P572" s="3">
        <v>62920</v>
      </c>
      <c r="Q572" s="3">
        <v>15404.129000000001</v>
      </c>
      <c r="R572" s="3">
        <v>281520.25151274784</v>
      </c>
      <c r="S572" s="3">
        <v>49270.977174431893</v>
      </c>
      <c r="T572" s="3">
        <v>8282.9964497999117</v>
      </c>
      <c r="U572" s="3">
        <v>28138.546945529939</v>
      </c>
      <c r="V572" s="3">
        <v>0</v>
      </c>
      <c r="W572" s="3">
        <v>0</v>
      </c>
      <c r="X572" s="3">
        <v>-164151.43162721023</v>
      </c>
      <c r="Y572" s="3">
        <v>157661.99672856633</v>
      </c>
      <c r="Z572" s="3">
        <v>199212.36593605025</v>
      </c>
      <c r="AA572" s="3">
        <v>-41550.36920748392</v>
      </c>
      <c r="AB572" s="3">
        <v>0</v>
      </c>
      <c r="AC572" s="3">
        <v>0</v>
      </c>
      <c r="AD572" s="3">
        <v>0</v>
      </c>
      <c r="AE572" s="3">
        <v>-205701.80083469418</v>
      </c>
      <c r="AF572" s="3">
        <v>0</v>
      </c>
      <c r="AG572" s="3">
        <v>-205701.80083469418</v>
      </c>
      <c r="AH572" s="3">
        <v>-205701.80083469418</v>
      </c>
      <c r="AI572" s="3">
        <v>232168274.88155785</v>
      </c>
      <c r="AJ572" s="3">
        <v>-351689.65976482874</v>
      </c>
    </row>
    <row r="573" spans="1:36" x14ac:dyDescent="0.2">
      <c r="A573" s="3" t="s">
        <v>36</v>
      </c>
      <c r="B573" s="3" t="s">
        <v>37</v>
      </c>
      <c r="C573" s="3" t="s">
        <v>54</v>
      </c>
      <c r="D573" s="3">
        <v>1</v>
      </c>
      <c r="E573" s="3">
        <v>2023</v>
      </c>
      <c r="F573" s="3">
        <v>1</v>
      </c>
      <c r="G573" s="3" t="s">
        <v>39</v>
      </c>
      <c r="H573" s="3" t="s">
        <v>46</v>
      </c>
      <c r="I573" s="5">
        <v>305476435.87597793</v>
      </c>
      <c r="J573" s="3">
        <v>0</v>
      </c>
      <c r="K573" s="3">
        <v>305476435.87597793</v>
      </c>
      <c r="L573" s="3">
        <v>304827018.02836323</v>
      </c>
      <c r="M573" s="3">
        <v>649417.84761461639</v>
      </c>
      <c r="N573" s="3">
        <v>927079.43767294148</v>
      </c>
      <c r="O573" s="3">
        <f t="shared" si="9"/>
        <v>0.30348639986402476</v>
      </c>
      <c r="P573" s="3">
        <v>135520</v>
      </c>
      <c r="Q573" s="3">
        <v>40452.131999999998</v>
      </c>
      <c r="R573" s="3">
        <v>570563.65641334001</v>
      </c>
      <c r="S573" s="3">
        <v>101754.10468339176</v>
      </c>
      <c r="T573" s="3">
        <v>13847.759814747955</v>
      </c>
      <c r="U573" s="3">
        <v>64941.78476146164</v>
      </c>
      <c r="V573" s="3">
        <v>0</v>
      </c>
      <c r="W573" s="3">
        <v>0</v>
      </c>
      <c r="X573" s="3">
        <v>-277661.59005832503</v>
      </c>
      <c r="Y573" s="3">
        <v>224893.00179002836</v>
      </c>
      <c r="Z573" s="3">
        <v>249002.44479500587</v>
      </c>
      <c r="AA573" s="3">
        <v>-24109.443004977518</v>
      </c>
      <c r="AB573" s="3">
        <v>0</v>
      </c>
      <c r="AC573" s="3">
        <v>0</v>
      </c>
      <c r="AD573" s="3">
        <v>0</v>
      </c>
      <c r="AE573" s="3">
        <v>-301771.03306330257</v>
      </c>
      <c r="AF573" s="3">
        <v>0</v>
      </c>
      <c r="AG573" s="3">
        <v>-301771.03306330257</v>
      </c>
      <c r="AH573" s="3">
        <v>-301771.03306330257</v>
      </c>
      <c r="AI573" s="3">
        <v>501476435.87597787</v>
      </c>
      <c r="AJ573" s="3">
        <v>-378742.71051596937</v>
      </c>
    </row>
    <row r="574" spans="1:36" x14ac:dyDescent="0.2">
      <c r="A574" s="3" t="s">
        <v>36</v>
      </c>
      <c r="B574" s="3" t="s">
        <v>37</v>
      </c>
      <c r="C574" s="3" t="s">
        <v>54</v>
      </c>
      <c r="D574" s="3">
        <v>2</v>
      </c>
      <c r="E574" s="3">
        <v>2023</v>
      </c>
      <c r="F574" s="3">
        <v>1</v>
      </c>
      <c r="G574" s="3" t="s">
        <v>39</v>
      </c>
      <c r="H574" s="3" t="s">
        <v>46</v>
      </c>
      <c r="I574" s="5">
        <v>523525261.68225288</v>
      </c>
      <c r="J574" s="3">
        <v>0</v>
      </c>
      <c r="K574" s="3">
        <v>523525261.68225288</v>
      </c>
      <c r="L574" s="3">
        <v>522642019.84614342</v>
      </c>
      <c r="M574" s="3">
        <v>883241.83610944753</v>
      </c>
      <c r="N574" s="3">
        <v>908469.68792006746</v>
      </c>
      <c r="O574" s="3">
        <f t="shared" si="9"/>
        <v>0.1735292935055065</v>
      </c>
      <c r="P574" s="3">
        <v>121000</v>
      </c>
      <c r="Q574" s="3">
        <v>29623.325000000001</v>
      </c>
      <c r="R574" s="3">
        <v>553646.21431960282</v>
      </c>
      <c r="S574" s="3">
        <v>65451.879181599797</v>
      </c>
      <c r="T574" s="3">
        <v>14333.710807920179</v>
      </c>
      <c r="U574" s="3">
        <v>88324.183610944747</v>
      </c>
      <c r="V574" s="3">
        <v>36090.375</v>
      </c>
      <c r="W574" s="3">
        <v>0</v>
      </c>
      <c r="X574" s="3">
        <v>-25227.851810619981</v>
      </c>
      <c r="Y574" s="3">
        <v>235066.32972312864</v>
      </c>
      <c r="Z574" s="3">
        <v>329306.17026530858</v>
      </c>
      <c r="AA574" s="3">
        <v>-94239.840542179998</v>
      </c>
      <c r="AB574" s="3">
        <v>0</v>
      </c>
      <c r="AC574" s="3">
        <v>0</v>
      </c>
      <c r="AD574" s="3">
        <v>0</v>
      </c>
      <c r="AE574" s="3">
        <v>-119467.69235279999</v>
      </c>
      <c r="AF574" s="3">
        <v>0</v>
      </c>
      <c r="AG574" s="3">
        <v>-119467.69235279999</v>
      </c>
      <c r="AH574" s="3">
        <v>-119467.69235279999</v>
      </c>
      <c r="AI574" s="3">
        <v>523525261.68225288</v>
      </c>
      <c r="AJ574" s="3">
        <v>-676326.26877851679</v>
      </c>
    </row>
    <row r="575" spans="1:36" x14ac:dyDescent="0.2">
      <c r="A575" s="3" t="s">
        <v>36</v>
      </c>
      <c r="B575" s="3" t="s">
        <v>37</v>
      </c>
      <c r="C575" s="3" t="s">
        <v>55</v>
      </c>
      <c r="D575" s="3">
        <v>1</v>
      </c>
      <c r="E575" s="3">
        <v>2023</v>
      </c>
      <c r="F575" s="3">
        <v>1</v>
      </c>
      <c r="G575" s="3" t="s">
        <v>42</v>
      </c>
      <c r="H575" s="3" t="s">
        <v>46</v>
      </c>
      <c r="I575" s="5">
        <v>80919.999999999985</v>
      </c>
      <c r="J575" s="3">
        <v>0</v>
      </c>
      <c r="K575" s="3">
        <v>80919.999999999985</v>
      </c>
      <c r="L575" s="3">
        <v>48552</v>
      </c>
      <c r="M575" s="3">
        <v>32368</v>
      </c>
      <c r="N575" s="3">
        <v>118953.4923638918</v>
      </c>
      <c r="O575" s="3">
        <f t="shared" si="9"/>
        <v>147.00134993066217</v>
      </c>
      <c r="P575" s="3">
        <v>0</v>
      </c>
      <c r="Q575" s="3">
        <v>0</v>
      </c>
      <c r="R575" s="3">
        <v>102607.06615384613</v>
      </c>
      <c r="S575" s="3">
        <v>13109.626210045662</v>
      </c>
      <c r="T575" s="3">
        <v>0</v>
      </c>
      <c r="U575" s="3">
        <v>3236.8</v>
      </c>
      <c r="V575" s="3">
        <v>0</v>
      </c>
      <c r="W575" s="3">
        <v>0</v>
      </c>
      <c r="X575" s="3">
        <v>-86585.492363891812</v>
      </c>
      <c r="Y575" s="3">
        <v>0</v>
      </c>
      <c r="Z575" s="3">
        <v>43571.100160000002</v>
      </c>
      <c r="AA575" s="3">
        <v>-43571.100160000002</v>
      </c>
      <c r="AB575" s="3">
        <v>0</v>
      </c>
      <c r="AC575" s="3">
        <v>0</v>
      </c>
      <c r="AD575" s="3">
        <v>0</v>
      </c>
      <c r="AE575" s="3">
        <v>-130156.5925238918</v>
      </c>
      <c r="AF575" s="3">
        <v>0</v>
      </c>
      <c r="AG575" s="3">
        <v>-130156.5925238918</v>
      </c>
      <c r="AH575" s="3">
        <v>-130156.5925238918</v>
      </c>
      <c r="AI575" s="3">
        <v>140000</v>
      </c>
      <c r="AJ575" s="3">
        <v>1400</v>
      </c>
    </row>
    <row r="576" spans="1:36" x14ac:dyDescent="0.2">
      <c r="A576" s="3" t="s">
        <v>36</v>
      </c>
      <c r="B576" s="3" t="s">
        <v>37</v>
      </c>
      <c r="C576" s="3" t="s">
        <v>55</v>
      </c>
      <c r="D576" s="3">
        <v>3</v>
      </c>
      <c r="E576" s="3">
        <v>2023</v>
      </c>
      <c r="F576" s="3">
        <v>1</v>
      </c>
      <c r="G576" s="3" t="s">
        <v>42</v>
      </c>
      <c r="H576" s="3" t="s">
        <v>46</v>
      </c>
      <c r="I576" s="5">
        <v>108134</v>
      </c>
      <c r="J576" s="3">
        <v>0</v>
      </c>
      <c r="K576" s="3">
        <v>108134</v>
      </c>
      <c r="L576" s="3">
        <v>65920.399999999994</v>
      </c>
      <c r="M576" s="3">
        <v>42213.599999999999</v>
      </c>
      <c r="N576" s="3">
        <v>73073.691851749783</v>
      </c>
      <c r="O576" s="3">
        <f t="shared" ref="O576:O639" si="10">N576/K576*100</f>
        <v>67.576980276092428</v>
      </c>
      <c r="P576" s="3">
        <v>0</v>
      </c>
      <c r="Q576" s="3">
        <v>0</v>
      </c>
      <c r="R576" s="3">
        <v>45111.264682800014</v>
      </c>
      <c r="S576" s="3">
        <v>17596.812168949771</v>
      </c>
      <c r="T576" s="3">
        <v>0</v>
      </c>
      <c r="U576" s="3">
        <v>4221.3600000000006</v>
      </c>
      <c r="V576" s="3">
        <v>6144.255000000001</v>
      </c>
      <c r="W576" s="3">
        <v>0</v>
      </c>
      <c r="X576" s="3">
        <v>-30860.091851749781</v>
      </c>
      <c r="Y576" s="3">
        <v>0</v>
      </c>
      <c r="Z576" s="3">
        <v>20155.460476607408</v>
      </c>
      <c r="AA576" s="3">
        <v>-20155.460476607408</v>
      </c>
      <c r="AB576" s="3">
        <v>0</v>
      </c>
      <c r="AC576" s="3">
        <v>0</v>
      </c>
      <c r="AD576" s="3">
        <v>0</v>
      </c>
      <c r="AE576" s="3">
        <v>-51015.552328357182</v>
      </c>
      <c r="AF576" s="3">
        <v>0</v>
      </c>
      <c r="AG576" s="3">
        <v>-51015.552328357182</v>
      </c>
      <c r="AH576" s="3">
        <v>-51015.552328357182</v>
      </c>
      <c r="AI576" s="3">
        <v>130000</v>
      </c>
      <c r="AJ576" s="3">
        <v>1300</v>
      </c>
    </row>
    <row r="577" spans="1:36" x14ac:dyDescent="0.2">
      <c r="A577" s="3" t="s">
        <v>36</v>
      </c>
      <c r="B577" s="3" t="s">
        <v>37</v>
      </c>
      <c r="C577" s="3" t="s">
        <v>55</v>
      </c>
      <c r="D577" s="3">
        <v>2</v>
      </c>
      <c r="E577" s="3">
        <v>2023</v>
      </c>
      <c r="F577" s="3">
        <v>1</v>
      </c>
      <c r="G577" s="3" t="s">
        <v>42</v>
      </c>
      <c r="H577" s="3" t="s">
        <v>46</v>
      </c>
      <c r="I577" s="5">
        <v>365400</v>
      </c>
      <c r="J577" s="3">
        <v>440</v>
      </c>
      <c r="K577" s="3">
        <v>364960</v>
      </c>
      <c r="L577" s="3">
        <v>224040</v>
      </c>
      <c r="M577" s="3">
        <v>140920</v>
      </c>
      <c r="N577" s="3">
        <v>115352.14025992273</v>
      </c>
      <c r="O577" s="3">
        <f t="shared" si="10"/>
        <v>31.606789856401452</v>
      </c>
      <c r="P577" s="3">
        <v>0</v>
      </c>
      <c r="Q577" s="3">
        <v>0</v>
      </c>
      <c r="R577" s="3">
        <v>80663.161538461543</v>
      </c>
      <c r="S577" s="3">
        <v>11714.018721461189</v>
      </c>
      <c r="T577" s="3">
        <v>0</v>
      </c>
      <c r="U577" s="3">
        <v>14092</v>
      </c>
      <c r="V577" s="3">
        <v>8882.9600000000009</v>
      </c>
      <c r="W577" s="3">
        <v>0</v>
      </c>
      <c r="X577" s="3">
        <v>25567.859740077274</v>
      </c>
      <c r="Y577" s="3">
        <v>0</v>
      </c>
      <c r="Z577" s="3">
        <v>31122.214400000004</v>
      </c>
      <c r="AA577" s="3">
        <v>-31122.214400000004</v>
      </c>
      <c r="AB577" s="3">
        <v>0</v>
      </c>
      <c r="AC577" s="3">
        <v>0</v>
      </c>
      <c r="AD577" s="3">
        <v>0</v>
      </c>
      <c r="AE577" s="3">
        <v>-5554.3546599227284</v>
      </c>
      <c r="AF577" s="3">
        <v>0</v>
      </c>
      <c r="AG577" s="3">
        <v>-5554.3546599227284</v>
      </c>
      <c r="AH577" s="3">
        <v>-5554.3546599227284</v>
      </c>
      <c r="AI577" s="3">
        <v>800000</v>
      </c>
      <c r="AJ577" s="3">
        <v>8000</v>
      </c>
    </row>
    <row r="578" spans="1:36" x14ac:dyDescent="0.2">
      <c r="A578" s="3" t="s">
        <v>36</v>
      </c>
      <c r="B578" s="3" t="s">
        <v>37</v>
      </c>
      <c r="C578" s="3" t="s">
        <v>55</v>
      </c>
      <c r="D578" s="3">
        <v>1</v>
      </c>
      <c r="E578" s="3">
        <v>2023</v>
      </c>
      <c r="F578" s="3">
        <v>1</v>
      </c>
      <c r="G578" s="3" t="s">
        <v>48</v>
      </c>
      <c r="H578" s="3" t="s">
        <v>46</v>
      </c>
      <c r="I578" s="5">
        <v>2460710</v>
      </c>
      <c r="J578" s="3">
        <v>90984</v>
      </c>
      <c r="K578" s="3">
        <v>2369726</v>
      </c>
      <c r="L578" s="3">
        <v>1596567.85</v>
      </c>
      <c r="M578" s="3">
        <v>773158.15</v>
      </c>
      <c r="N578" s="3">
        <v>1342236.8482301373</v>
      </c>
      <c r="O578" s="3">
        <f t="shared" si="10"/>
        <v>56.64101454050541</v>
      </c>
      <c r="P578" s="3">
        <v>560000</v>
      </c>
      <c r="Q578" s="3">
        <v>325060.87178948463</v>
      </c>
      <c r="R578" s="3">
        <v>269885.25862317701</v>
      </c>
      <c r="S578" s="3">
        <v>61418.629688009445</v>
      </c>
      <c r="T578" s="3">
        <v>16024.537167611132</v>
      </c>
      <c r="U578" s="3">
        <v>78244.906060639914</v>
      </c>
      <c r="V578" s="3">
        <v>31602.644901214935</v>
      </c>
      <c r="W578" s="3">
        <v>0</v>
      </c>
      <c r="X578" s="3">
        <v>-569078.69823013723</v>
      </c>
      <c r="Y578" s="3">
        <v>0</v>
      </c>
      <c r="Z578" s="3">
        <v>210271.83660123841</v>
      </c>
      <c r="AA578" s="3">
        <v>-210271.83660123841</v>
      </c>
      <c r="AB578" s="3">
        <v>0</v>
      </c>
      <c r="AC578" s="3">
        <v>17513.741096600697</v>
      </c>
      <c r="AD578" s="3">
        <v>-17513.741096600697</v>
      </c>
      <c r="AE578" s="3">
        <v>-796864.27592797647</v>
      </c>
      <c r="AF578" s="3">
        <v>0</v>
      </c>
      <c r="AG578" s="3">
        <v>-796864.27592797647</v>
      </c>
      <c r="AH578" s="3">
        <v>-796864.27592797647</v>
      </c>
      <c r="AI578" s="3">
        <v>4800000</v>
      </c>
      <c r="AJ578" s="3">
        <v>48000</v>
      </c>
    </row>
    <row r="579" spans="1:36" x14ac:dyDescent="0.2">
      <c r="A579" s="3" t="s">
        <v>36</v>
      </c>
      <c r="B579" s="3" t="s">
        <v>37</v>
      </c>
      <c r="C579" s="3" t="s">
        <v>55</v>
      </c>
      <c r="D579" s="3">
        <v>3</v>
      </c>
      <c r="E579" s="3">
        <v>2023</v>
      </c>
      <c r="F579" s="3">
        <v>1</v>
      </c>
      <c r="G579" s="3" t="s">
        <v>48</v>
      </c>
      <c r="H579" s="3" t="s">
        <v>46</v>
      </c>
      <c r="I579" s="5">
        <v>7697625</v>
      </c>
      <c r="J579" s="3">
        <v>303123.75</v>
      </c>
      <c r="K579" s="3">
        <v>7394501.25</v>
      </c>
      <c r="L579" s="3">
        <v>4721456.7450000001</v>
      </c>
      <c r="M579" s="3">
        <v>2673044.5049999999</v>
      </c>
      <c r="N579" s="3">
        <v>2372424.603112896</v>
      </c>
      <c r="O579" s="3">
        <f t="shared" si="10"/>
        <v>32.083632457468255</v>
      </c>
      <c r="P579" s="3">
        <v>840000</v>
      </c>
      <c r="Q579" s="3">
        <v>487591.30768422689</v>
      </c>
      <c r="R579" s="3">
        <v>392527.09513142915</v>
      </c>
      <c r="S579" s="3">
        <v>126449.46437454247</v>
      </c>
      <c r="T579" s="3">
        <v>232883.76190569007</v>
      </c>
      <c r="U579" s="3">
        <v>196274.35960283779</v>
      </c>
      <c r="V579" s="3">
        <v>96698.614414169599</v>
      </c>
      <c r="W579" s="3">
        <v>0</v>
      </c>
      <c r="X579" s="3">
        <v>300619.9018871038</v>
      </c>
      <c r="Y579" s="3">
        <v>0</v>
      </c>
      <c r="Z579" s="3">
        <v>322784.27425031114</v>
      </c>
      <c r="AA579" s="3">
        <v>-322784.27425031114</v>
      </c>
      <c r="AB579" s="3">
        <v>0</v>
      </c>
      <c r="AC579" s="3">
        <v>70018.988092095038</v>
      </c>
      <c r="AD579" s="3">
        <v>-70018.988092095038</v>
      </c>
      <c r="AE579" s="3">
        <v>-92183.360455302405</v>
      </c>
      <c r="AF579" s="3">
        <v>0</v>
      </c>
      <c r="AG579" s="3">
        <v>-92183.360455302405</v>
      </c>
      <c r="AH579" s="3">
        <v>-92183.360455302405</v>
      </c>
      <c r="AI579" s="3">
        <v>9000000</v>
      </c>
      <c r="AJ579" s="3">
        <v>90000</v>
      </c>
    </row>
    <row r="580" spans="1:36" x14ac:dyDescent="0.2">
      <c r="A580" s="3" t="s">
        <v>36</v>
      </c>
      <c r="B580" s="3" t="s">
        <v>37</v>
      </c>
      <c r="C580" s="3" t="s">
        <v>55</v>
      </c>
      <c r="D580" s="3">
        <v>2</v>
      </c>
      <c r="E580" s="3">
        <v>2023</v>
      </c>
      <c r="F580" s="3">
        <v>1</v>
      </c>
      <c r="G580" s="3" t="s">
        <v>48</v>
      </c>
      <c r="H580" s="3" t="s">
        <v>46</v>
      </c>
      <c r="I580" s="5">
        <v>11970114</v>
      </c>
      <c r="J580" s="3">
        <v>520999</v>
      </c>
      <c r="K580" s="3">
        <v>11449115</v>
      </c>
      <c r="L580" s="3">
        <v>7298520.5019999994</v>
      </c>
      <c r="M580" s="3">
        <v>4150594.4979999997</v>
      </c>
      <c r="N580" s="3">
        <v>2930775.645535476</v>
      </c>
      <c r="O580" s="3">
        <f t="shared" si="10"/>
        <v>25.598272403897383</v>
      </c>
      <c r="P580" s="3">
        <v>1064000</v>
      </c>
      <c r="Q580" s="3">
        <v>617615.6564000207</v>
      </c>
      <c r="R580" s="3">
        <v>579476.30098478042</v>
      </c>
      <c r="S580" s="3">
        <v>145231.2566691562</v>
      </c>
      <c r="T580" s="3">
        <v>123290.82595716213</v>
      </c>
      <c r="U580" s="3">
        <v>263471.14131874935</v>
      </c>
      <c r="V580" s="3">
        <v>137690.46420560739</v>
      </c>
      <c r="W580" s="3">
        <v>0</v>
      </c>
      <c r="X580" s="3">
        <v>1219818.8524645236</v>
      </c>
      <c r="Y580" s="3">
        <v>0</v>
      </c>
      <c r="Z580" s="3">
        <v>408568.7865548727</v>
      </c>
      <c r="AA580" s="3">
        <v>-408568.7865548727</v>
      </c>
      <c r="AB580" s="3">
        <v>0</v>
      </c>
      <c r="AC580" s="3">
        <v>69313.968583506052</v>
      </c>
      <c r="AD580" s="3">
        <v>-69313.968583506052</v>
      </c>
      <c r="AE580" s="3">
        <v>741936.09732614469</v>
      </c>
      <c r="AF580" s="3">
        <v>0</v>
      </c>
      <c r="AG580" s="3">
        <v>741936.09732614469</v>
      </c>
      <c r="AH580" s="3">
        <v>741936.09732614469</v>
      </c>
      <c r="AI580" s="3">
        <v>9500000</v>
      </c>
      <c r="AJ580" s="3">
        <v>95000</v>
      </c>
    </row>
    <row r="581" spans="1:36" x14ac:dyDescent="0.2">
      <c r="A581" s="3" t="s">
        <v>36</v>
      </c>
      <c r="B581" s="3" t="s">
        <v>37</v>
      </c>
      <c r="C581" s="3" t="s">
        <v>55</v>
      </c>
      <c r="D581" s="3">
        <v>1</v>
      </c>
      <c r="E581" s="3">
        <v>2023</v>
      </c>
      <c r="F581" s="3">
        <v>1</v>
      </c>
      <c r="G581" s="3" t="s">
        <v>39</v>
      </c>
      <c r="H581" s="3" t="s">
        <v>46</v>
      </c>
      <c r="I581" s="5">
        <v>322798047.40036047</v>
      </c>
      <c r="J581" s="3">
        <v>0</v>
      </c>
      <c r="K581" s="3">
        <v>322798047.40036047</v>
      </c>
      <c r="L581" s="3">
        <v>322111805.22735679</v>
      </c>
      <c r="M581" s="3">
        <v>686242.17300367355</v>
      </c>
      <c r="N581" s="3">
        <v>809258.47997550177</v>
      </c>
      <c r="O581" s="3">
        <f t="shared" si="10"/>
        <v>0.25070116950608234</v>
      </c>
      <c r="P581" s="3">
        <v>87500</v>
      </c>
      <c r="Q581" s="3">
        <v>13805.599999999999</v>
      </c>
      <c r="R581" s="3">
        <v>513768.80257319659</v>
      </c>
      <c r="S581" s="3">
        <v>110191.05754917956</v>
      </c>
      <c r="T581" s="3">
        <v>14632.977552758375</v>
      </c>
      <c r="U581" s="3">
        <v>68624.217300367352</v>
      </c>
      <c r="V581" s="3">
        <v>735.82499999999993</v>
      </c>
      <c r="W581" s="3">
        <v>0</v>
      </c>
      <c r="X581" s="3">
        <v>-123016.30697182828</v>
      </c>
      <c r="Y581" s="3">
        <v>237645.2430566533</v>
      </c>
      <c r="Z581" s="3">
        <v>263121.77810787625</v>
      </c>
      <c r="AA581" s="3">
        <v>-25476.535051222934</v>
      </c>
      <c r="AB581" s="3">
        <v>25</v>
      </c>
      <c r="AC581" s="3">
        <v>0</v>
      </c>
      <c r="AD581" s="3">
        <v>25</v>
      </c>
      <c r="AE581" s="3">
        <v>-148467.8420230512</v>
      </c>
      <c r="AF581" s="3">
        <v>0</v>
      </c>
      <c r="AG581" s="3">
        <v>-148467.8420230512</v>
      </c>
      <c r="AH581" s="3">
        <v>-148467.8420230512</v>
      </c>
      <c r="AI581" s="3">
        <v>947798047.40036035</v>
      </c>
      <c r="AJ581" s="3">
        <v>41503.510176255309</v>
      </c>
    </row>
    <row r="582" spans="1:36" x14ac:dyDescent="0.2">
      <c r="A582" s="3" t="s">
        <v>36</v>
      </c>
      <c r="B582" s="3" t="s">
        <v>37</v>
      </c>
      <c r="C582" s="3" t="s">
        <v>55</v>
      </c>
      <c r="D582" s="3">
        <v>2</v>
      </c>
      <c r="E582" s="3">
        <v>2023</v>
      </c>
      <c r="F582" s="3">
        <v>1</v>
      </c>
      <c r="G582" s="3" t="s">
        <v>39</v>
      </c>
      <c r="H582" s="3" t="s">
        <v>46</v>
      </c>
      <c r="I582" s="5">
        <v>527109700.06622618</v>
      </c>
      <c r="J582" s="3">
        <v>9</v>
      </c>
      <c r="K582" s="3">
        <v>527109691.06622624</v>
      </c>
      <c r="L582" s="3">
        <v>526220401.90791202</v>
      </c>
      <c r="M582" s="3">
        <v>889289.15831412515</v>
      </c>
      <c r="N582" s="3">
        <v>733787.96081564482</v>
      </c>
      <c r="O582" s="3">
        <f t="shared" si="10"/>
        <v>0.13920972678976062</v>
      </c>
      <c r="P582" s="3">
        <v>63000</v>
      </c>
      <c r="Q582" s="3">
        <v>20374.236000000001</v>
      </c>
      <c r="R582" s="3">
        <v>465143.8276309779</v>
      </c>
      <c r="S582" s="3">
        <v>57395.561435409298</v>
      </c>
      <c r="T582" s="3">
        <v>14431.849917845049</v>
      </c>
      <c r="U582" s="3">
        <v>88928.915831412523</v>
      </c>
      <c r="V582" s="3">
        <v>24513.57</v>
      </c>
      <c r="W582" s="3">
        <v>0</v>
      </c>
      <c r="X582" s="3">
        <v>155501.19749848035</v>
      </c>
      <c r="Y582" s="3">
        <v>236675.76643365494</v>
      </c>
      <c r="Z582" s="3">
        <v>331560.84212772327</v>
      </c>
      <c r="AA582" s="3">
        <v>-94885.075694068335</v>
      </c>
      <c r="AB582" s="3">
        <v>23.525999999999996</v>
      </c>
      <c r="AC582" s="3">
        <v>0</v>
      </c>
      <c r="AD582" s="3">
        <v>23.525999999999996</v>
      </c>
      <c r="AE582" s="3">
        <v>60639.647804412023</v>
      </c>
      <c r="AF582" s="3">
        <v>0</v>
      </c>
      <c r="AG582" s="3">
        <v>60639.647804412023</v>
      </c>
      <c r="AH582" s="3">
        <v>60639.647804412023</v>
      </c>
      <c r="AI582" s="3">
        <v>527109691.06622624</v>
      </c>
      <c r="AJ582" s="3">
        <v>23906.021861523059</v>
      </c>
    </row>
    <row r="583" spans="1:36" x14ac:dyDescent="0.2">
      <c r="A583" s="3" t="s">
        <v>36</v>
      </c>
      <c r="B583" s="3" t="s">
        <v>37</v>
      </c>
      <c r="C583" s="3" t="s">
        <v>55</v>
      </c>
      <c r="D583" s="3">
        <v>3</v>
      </c>
      <c r="E583" s="3">
        <v>2023</v>
      </c>
      <c r="F583" s="3">
        <v>1</v>
      </c>
      <c r="G583" s="3" t="s">
        <v>39</v>
      </c>
      <c r="H583" s="3" t="s">
        <v>46</v>
      </c>
      <c r="I583" s="5">
        <v>731455692.48538923</v>
      </c>
      <c r="J583" s="3">
        <v>0</v>
      </c>
      <c r="K583" s="3">
        <v>731455692.48538923</v>
      </c>
      <c r="L583" s="3">
        <v>730569175.99849725</v>
      </c>
      <c r="M583" s="3">
        <v>886516.48689193721</v>
      </c>
      <c r="N583" s="3">
        <v>832853.68704597186</v>
      </c>
      <c r="O583" s="3">
        <f t="shared" si="10"/>
        <v>0.11386249305354994</v>
      </c>
      <c r="P583" s="3">
        <v>70000</v>
      </c>
      <c r="Q583" s="3">
        <v>22638.04</v>
      </c>
      <c r="R583" s="3">
        <v>515617.13155852258</v>
      </c>
      <c r="S583" s="3">
        <v>81492.846039343654</v>
      </c>
      <c r="T583" s="3">
        <v>26095.920758911921</v>
      </c>
      <c r="U583" s="3">
        <v>88651.648689193709</v>
      </c>
      <c r="V583" s="3">
        <v>28358.1</v>
      </c>
      <c r="W583" s="3">
        <v>0</v>
      </c>
      <c r="X583" s="3">
        <v>53662.799845965354</v>
      </c>
      <c r="Y583" s="3">
        <v>496720.60084245063</v>
      </c>
      <c r="Z583" s="3">
        <v>627626.74681432615</v>
      </c>
      <c r="AA583" s="3">
        <v>-130906.14597187549</v>
      </c>
      <c r="AB583" s="3">
        <v>0</v>
      </c>
      <c r="AC583" s="3">
        <v>0</v>
      </c>
      <c r="AD583" s="3">
        <v>0</v>
      </c>
      <c r="AE583" s="3">
        <v>-77243.346125910131</v>
      </c>
      <c r="AF583" s="3">
        <v>0</v>
      </c>
      <c r="AG583" s="3">
        <v>-77243.346125910131</v>
      </c>
      <c r="AH583" s="3">
        <v>-77243.346125910131</v>
      </c>
      <c r="AI583" s="3">
        <v>731455692.48538923</v>
      </c>
      <c r="AJ583" s="3">
        <v>26562.246512803398</v>
      </c>
    </row>
    <row r="584" spans="1:36" x14ac:dyDescent="0.2">
      <c r="A584" s="3" t="s">
        <v>36</v>
      </c>
      <c r="B584" s="3" t="s">
        <v>37</v>
      </c>
      <c r="C584" s="3" t="s">
        <v>56</v>
      </c>
      <c r="D584" s="3">
        <v>1</v>
      </c>
      <c r="E584" s="3">
        <v>2023</v>
      </c>
      <c r="F584" s="3">
        <v>1</v>
      </c>
      <c r="G584" s="3" t="s">
        <v>42</v>
      </c>
      <c r="H584" s="3" t="s">
        <v>46</v>
      </c>
      <c r="I584" s="5">
        <v>22000</v>
      </c>
      <c r="J584" s="3">
        <v>0</v>
      </c>
      <c r="K584" s="3">
        <v>22000</v>
      </c>
      <c r="L584" s="3">
        <v>13200</v>
      </c>
      <c r="M584" s="3">
        <v>8800</v>
      </c>
      <c r="N584" s="3">
        <v>1850</v>
      </c>
      <c r="O584" s="3">
        <f t="shared" si="10"/>
        <v>8.4090909090909083</v>
      </c>
      <c r="P584" s="3">
        <v>0</v>
      </c>
      <c r="Q584" s="3">
        <v>0</v>
      </c>
      <c r="R584" s="3">
        <v>0</v>
      </c>
      <c r="S584" s="3">
        <v>970</v>
      </c>
      <c r="T584" s="3">
        <v>0</v>
      </c>
      <c r="U584" s="3">
        <v>880</v>
      </c>
      <c r="V584" s="3">
        <v>0</v>
      </c>
      <c r="W584" s="3">
        <v>0</v>
      </c>
      <c r="X584" s="3">
        <v>6950</v>
      </c>
      <c r="Y584" s="3">
        <v>0</v>
      </c>
      <c r="Z584" s="3">
        <v>34640.428759126575</v>
      </c>
      <c r="AA584" s="3">
        <v>-34640.428759126575</v>
      </c>
      <c r="AB584" s="3">
        <v>0</v>
      </c>
      <c r="AC584" s="3">
        <v>0</v>
      </c>
      <c r="AD584" s="3">
        <v>0</v>
      </c>
      <c r="AE584" s="3">
        <v>-27690.428759126571</v>
      </c>
      <c r="AF584" s="3">
        <v>0</v>
      </c>
      <c r="AG584" s="3">
        <v>-27690.428759126571</v>
      </c>
      <c r="AH584" s="3">
        <v>-27690.428759126571</v>
      </c>
      <c r="AI584" s="3">
        <v>0</v>
      </c>
      <c r="AJ584" s="3">
        <v>0</v>
      </c>
    </row>
    <row r="585" spans="1:36" x14ac:dyDescent="0.2">
      <c r="A585" s="3" t="s">
        <v>36</v>
      </c>
      <c r="B585" s="3" t="s">
        <v>37</v>
      </c>
      <c r="C585" s="3" t="s">
        <v>56</v>
      </c>
      <c r="D585" s="3">
        <v>3</v>
      </c>
      <c r="E585" s="3">
        <v>2023</v>
      </c>
      <c r="F585" s="3">
        <v>1</v>
      </c>
      <c r="G585" s="3" t="s">
        <v>42</v>
      </c>
      <c r="H585" s="3" t="s">
        <v>46</v>
      </c>
      <c r="I585" s="5">
        <v>44550</v>
      </c>
      <c r="J585" s="3">
        <v>7398</v>
      </c>
      <c r="K585" s="3">
        <v>37152</v>
      </c>
      <c r="L585" s="3">
        <v>26730</v>
      </c>
      <c r="M585" s="3">
        <v>10422</v>
      </c>
      <c r="N585" s="3">
        <v>40848.300000000003</v>
      </c>
      <c r="O585" s="3">
        <f t="shared" si="10"/>
        <v>109.94912790697676</v>
      </c>
      <c r="P585" s="3">
        <v>0</v>
      </c>
      <c r="Q585" s="3">
        <v>0</v>
      </c>
      <c r="R585" s="3">
        <v>0</v>
      </c>
      <c r="S585" s="3">
        <v>39806.100000000006</v>
      </c>
      <c r="T585" s="3">
        <v>0</v>
      </c>
      <c r="U585" s="3">
        <v>1042.2</v>
      </c>
      <c r="V585" s="3">
        <v>0</v>
      </c>
      <c r="W585" s="3">
        <v>0</v>
      </c>
      <c r="X585" s="3">
        <v>-30426.300000000003</v>
      </c>
      <c r="Y585" s="3">
        <v>0</v>
      </c>
      <c r="Z585" s="3">
        <v>46983.380344820871</v>
      </c>
      <c r="AA585" s="3">
        <v>-46983.380344820871</v>
      </c>
      <c r="AB585" s="3">
        <v>0</v>
      </c>
      <c r="AC585" s="3">
        <v>0</v>
      </c>
      <c r="AD585" s="3">
        <v>0</v>
      </c>
      <c r="AE585" s="3">
        <v>-77409.680344820867</v>
      </c>
      <c r="AF585" s="3">
        <v>0</v>
      </c>
      <c r="AG585" s="3">
        <v>-77409.680344820867</v>
      </c>
      <c r="AH585" s="3">
        <v>-77409.680344820867</v>
      </c>
      <c r="AI585" s="3">
        <v>0</v>
      </c>
      <c r="AJ585" s="3">
        <v>0</v>
      </c>
    </row>
    <row r="586" spans="1:36" x14ac:dyDescent="0.2">
      <c r="A586" s="3" t="s">
        <v>36</v>
      </c>
      <c r="B586" s="3" t="s">
        <v>37</v>
      </c>
      <c r="C586" s="3" t="s">
        <v>56</v>
      </c>
      <c r="D586" s="3">
        <v>2</v>
      </c>
      <c r="E586" s="3">
        <v>2023</v>
      </c>
      <c r="F586" s="3">
        <v>1</v>
      </c>
      <c r="G586" s="3" t="s">
        <v>42</v>
      </c>
      <c r="H586" s="3" t="s">
        <v>46</v>
      </c>
      <c r="I586" s="5">
        <v>678178</v>
      </c>
      <c r="J586" s="3">
        <v>0</v>
      </c>
      <c r="K586" s="3">
        <v>678178</v>
      </c>
      <c r="L586" s="3">
        <v>406906.8</v>
      </c>
      <c r="M586" s="3">
        <v>271271.19999999995</v>
      </c>
      <c r="N586" s="3">
        <v>28392.12</v>
      </c>
      <c r="O586" s="3">
        <f t="shared" si="10"/>
        <v>4.1865292002984464</v>
      </c>
      <c r="P586" s="3">
        <v>0</v>
      </c>
      <c r="Q586" s="3">
        <v>0</v>
      </c>
      <c r="R586" s="3">
        <v>0</v>
      </c>
      <c r="S586" s="3">
        <v>1264.9999999999998</v>
      </c>
      <c r="T586" s="3">
        <v>0</v>
      </c>
      <c r="U586" s="3">
        <v>27127.119999999999</v>
      </c>
      <c r="V586" s="3">
        <v>0</v>
      </c>
      <c r="W586" s="3">
        <v>0</v>
      </c>
      <c r="X586" s="3">
        <v>242879.07999999996</v>
      </c>
      <c r="Y586" s="3">
        <v>0</v>
      </c>
      <c r="Z586" s="3">
        <v>39836.493072995552</v>
      </c>
      <c r="AA586" s="3">
        <v>-39836.493072995552</v>
      </c>
      <c r="AB586" s="3">
        <v>0</v>
      </c>
      <c r="AC586" s="3">
        <v>0</v>
      </c>
      <c r="AD586" s="3">
        <v>0</v>
      </c>
      <c r="AE586" s="3">
        <v>203042.58692700442</v>
      </c>
      <c r="AF586" s="3">
        <v>0</v>
      </c>
      <c r="AG586" s="3">
        <v>203042.58692700442</v>
      </c>
      <c r="AH586" s="3">
        <v>203042.58692700442</v>
      </c>
      <c r="AI586" s="3">
        <v>0</v>
      </c>
      <c r="AJ586" s="3">
        <v>0</v>
      </c>
    </row>
    <row r="587" spans="1:36" x14ac:dyDescent="0.2">
      <c r="A587" s="3" t="s">
        <v>36</v>
      </c>
      <c r="B587" s="3" t="s">
        <v>37</v>
      </c>
      <c r="C587" s="3" t="s">
        <v>56</v>
      </c>
      <c r="D587" s="3">
        <v>1</v>
      </c>
      <c r="E587" s="3">
        <v>2023</v>
      </c>
      <c r="F587" s="3">
        <v>1</v>
      </c>
      <c r="G587" s="3" t="s">
        <v>48</v>
      </c>
      <c r="H587" s="3" t="s">
        <v>46</v>
      </c>
      <c r="I587" s="5">
        <v>1578926</v>
      </c>
      <c r="J587" s="3">
        <v>75650</v>
      </c>
      <c r="K587" s="3">
        <v>1503276</v>
      </c>
      <c r="L587" s="3">
        <v>955792.56399999978</v>
      </c>
      <c r="M587" s="3">
        <v>547483.43599999999</v>
      </c>
      <c r="N587" s="3">
        <v>1908391.4031711584</v>
      </c>
      <c r="O587" s="3">
        <f t="shared" si="10"/>
        <v>126.94883728411538</v>
      </c>
      <c r="P587" s="3">
        <v>906100</v>
      </c>
      <c r="Q587" s="3">
        <v>380398.03138316376</v>
      </c>
      <c r="R587" s="3">
        <v>382933.08831339283</v>
      </c>
      <c r="S587" s="3">
        <v>60036.646279204884</v>
      </c>
      <c r="T587" s="3">
        <v>10282.218697817936</v>
      </c>
      <c r="U587" s="3">
        <v>50206.207373766891</v>
      </c>
      <c r="V587" s="3">
        <v>118435.21112381207</v>
      </c>
      <c r="W587" s="3">
        <v>0</v>
      </c>
      <c r="X587" s="3">
        <v>-1360907.9671711586</v>
      </c>
      <c r="Y587" s="3">
        <v>0</v>
      </c>
      <c r="Z587" s="3">
        <v>362406.51279056689</v>
      </c>
      <c r="AA587" s="3">
        <v>-362406.51279056689</v>
      </c>
      <c r="AB587" s="3">
        <v>0</v>
      </c>
      <c r="AC587" s="3">
        <v>11237.773315299792</v>
      </c>
      <c r="AD587" s="3">
        <v>-11237.773315299792</v>
      </c>
      <c r="AE587" s="3">
        <v>-1734552.2532770252</v>
      </c>
      <c r="AF587" s="3">
        <v>0</v>
      </c>
      <c r="AG587" s="3">
        <v>-1734552.2532770252</v>
      </c>
      <c r="AH587" s="3">
        <v>-1734552.2532770252</v>
      </c>
      <c r="AI587" s="3">
        <v>7480000</v>
      </c>
      <c r="AJ587" s="3">
        <v>7480</v>
      </c>
    </row>
    <row r="588" spans="1:36" x14ac:dyDescent="0.2">
      <c r="A588" s="3" t="s">
        <v>36</v>
      </c>
      <c r="B588" s="3" t="s">
        <v>37</v>
      </c>
      <c r="C588" s="3" t="s">
        <v>56</v>
      </c>
      <c r="D588" s="3">
        <v>3</v>
      </c>
      <c r="E588" s="3">
        <v>2023</v>
      </c>
      <c r="F588" s="3">
        <v>1</v>
      </c>
      <c r="G588" s="3" t="s">
        <v>48</v>
      </c>
      <c r="H588" s="3" t="s">
        <v>46</v>
      </c>
      <c r="I588" s="5">
        <v>8277540</v>
      </c>
      <c r="J588" s="3">
        <v>339856.5</v>
      </c>
      <c r="K588" s="3">
        <v>7937683.5</v>
      </c>
      <c r="L588" s="3">
        <v>5041550.49</v>
      </c>
      <c r="M588" s="3">
        <v>2896133.01</v>
      </c>
      <c r="N588" s="3">
        <v>3846988.8154817354</v>
      </c>
      <c r="O588" s="3">
        <f t="shared" si="10"/>
        <v>48.464880408518873</v>
      </c>
      <c r="P588" s="3">
        <v>1599000</v>
      </c>
      <c r="Q588" s="3">
        <v>671290.64361734793</v>
      </c>
      <c r="R588" s="3">
        <v>911236.56417681952</v>
      </c>
      <c r="S588" s="3">
        <v>152552.32836371611</v>
      </c>
      <c r="T588" s="3">
        <v>250428.49639009772</v>
      </c>
      <c r="U588" s="3">
        <v>211061.05618120835</v>
      </c>
      <c r="V588" s="3">
        <v>51419.726752545816</v>
      </c>
      <c r="W588" s="3">
        <v>0</v>
      </c>
      <c r="X588" s="3">
        <v>-950855.80548173538</v>
      </c>
      <c r="Y588" s="3">
        <v>0</v>
      </c>
      <c r="Z588" s="3">
        <v>638772.41569470812</v>
      </c>
      <c r="AA588" s="3">
        <v>-638772.41569470812</v>
      </c>
      <c r="AB588" s="3">
        <v>0</v>
      </c>
      <c r="AC588" s="3">
        <v>75293.99973262407</v>
      </c>
      <c r="AD588" s="3">
        <v>-75293.99973262407</v>
      </c>
      <c r="AE588" s="3">
        <v>-1664922.2209090672</v>
      </c>
      <c r="AF588" s="3">
        <v>0</v>
      </c>
      <c r="AG588" s="3">
        <v>-1664922.2209090672</v>
      </c>
      <c r="AH588" s="3">
        <v>-1664922.2209090672</v>
      </c>
      <c r="AI588" s="3">
        <v>10500000</v>
      </c>
      <c r="AJ588" s="3">
        <v>10500</v>
      </c>
    </row>
    <row r="589" spans="1:36" x14ac:dyDescent="0.2">
      <c r="A589" s="3" t="s">
        <v>36</v>
      </c>
      <c r="B589" s="3" t="s">
        <v>37</v>
      </c>
      <c r="C589" s="3" t="s">
        <v>56</v>
      </c>
      <c r="D589" s="3">
        <v>2</v>
      </c>
      <c r="E589" s="3">
        <v>2023</v>
      </c>
      <c r="F589" s="3">
        <v>1</v>
      </c>
      <c r="G589" s="3" t="s">
        <v>48</v>
      </c>
      <c r="H589" s="3" t="s">
        <v>46</v>
      </c>
      <c r="I589" s="5">
        <v>10078680</v>
      </c>
      <c r="J589" s="3">
        <v>357316</v>
      </c>
      <c r="K589" s="3">
        <v>9721364</v>
      </c>
      <c r="L589" s="3">
        <v>6461796.1799999997</v>
      </c>
      <c r="M589" s="3">
        <v>3259567.8200000003</v>
      </c>
      <c r="N589" s="3">
        <v>2787823.8006138951</v>
      </c>
      <c r="O589" s="3">
        <f t="shared" si="10"/>
        <v>28.677290559368984</v>
      </c>
      <c r="P589" s="3">
        <v>1066000</v>
      </c>
      <c r="Q589" s="3">
        <v>447527.0957448986</v>
      </c>
      <c r="R589" s="3">
        <v>614975.77758987562</v>
      </c>
      <c r="S589" s="3">
        <v>111089.85163641541</v>
      </c>
      <c r="T589" s="3">
        <v>103809.26879710009</v>
      </c>
      <c r="U589" s="3">
        <v>221839.26757810777</v>
      </c>
      <c r="V589" s="3">
        <v>222582.53926749722</v>
      </c>
      <c r="W589" s="3">
        <v>0</v>
      </c>
      <c r="X589" s="3">
        <v>471744.01938610489</v>
      </c>
      <c r="Y589" s="3">
        <v>0</v>
      </c>
      <c r="Z589" s="3">
        <v>439326.23071411706</v>
      </c>
      <c r="AA589" s="3">
        <v>-439326.23071411706</v>
      </c>
      <c r="AB589" s="3">
        <v>0</v>
      </c>
      <c r="AC589" s="3">
        <v>58361.458285460845</v>
      </c>
      <c r="AD589" s="3">
        <v>-58361.458285460845</v>
      </c>
      <c r="AE589" s="3">
        <v>-25943.669613472965</v>
      </c>
      <c r="AF589" s="3">
        <v>0</v>
      </c>
      <c r="AG589" s="3">
        <v>-25943.669613472965</v>
      </c>
      <c r="AH589" s="3">
        <v>-25943.669613472965</v>
      </c>
      <c r="AI589" s="3">
        <v>8000000</v>
      </c>
      <c r="AJ589" s="3">
        <v>8000</v>
      </c>
    </row>
    <row r="590" spans="1:36" x14ac:dyDescent="0.2">
      <c r="A590" s="3" t="s">
        <v>36</v>
      </c>
      <c r="B590" s="3" t="s">
        <v>37</v>
      </c>
      <c r="C590" s="3" t="s">
        <v>56</v>
      </c>
      <c r="D590" s="3">
        <v>1</v>
      </c>
      <c r="E590" s="3">
        <v>2023</v>
      </c>
      <c r="F590" s="3">
        <v>1</v>
      </c>
      <c r="G590" s="3" t="s">
        <v>39</v>
      </c>
      <c r="H590" s="3" t="s">
        <v>46</v>
      </c>
      <c r="I590" s="5">
        <v>20232990.129778106</v>
      </c>
      <c r="J590" s="3">
        <v>0</v>
      </c>
      <c r="K590" s="3">
        <v>20232990.129778106</v>
      </c>
      <c r="L590" s="3">
        <v>20189976.45226413</v>
      </c>
      <c r="M590" s="3">
        <v>43013.677513976101</v>
      </c>
      <c r="N590" s="3">
        <v>289561.11712953425</v>
      </c>
      <c r="O590" s="3">
        <f t="shared" si="10"/>
        <v>1.431133585655092</v>
      </c>
      <c r="P590" s="3">
        <v>46800</v>
      </c>
      <c r="Q590" s="3">
        <v>7946.1</v>
      </c>
      <c r="R590" s="3">
        <v>185437.13870065234</v>
      </c>
      <c r="S590" s="3">
        <v>37515.107258309399</v>
      </c>
      <c r="T590" s="3">
        <v>917.19541917493689</v>
      </c>
      <c r="U590" s="3">
        <v>4301.3677513976099</v>
      </c>
      <c r="V590" s="3">
        <v>6644.2079999999996</v>
      </c>
      <c r="W590" s="3">
        <v>0</v>
      </c>
      <c r="X590" s="3">
        <v>-246547.43961555819</v>
      </c>
      <c r="Y590" s="3">
        <v>14895.61011131015</v>
      </c>
      <c r="Z590" s="3">
        <v>16492.479995653095</v>
      </c>
      <c r="AA590" s="3">
        <v>-1596.8698893429721</v>
      </c>
      <c r="AB590" s="3">
        <v>0</v>
      </c>
      <c r="AC590" s="3">
        <v>0</v>
      </c>
      <c r="AD590" s="3">
        <v>0</v>
      </c>
      <c r="AE590" s="3">
        <v>-248144.30950490115</v>
      </c>
      <c r="AF590" s="3">
        <v>0</v>
      </c>
      <c r="AG590" s="3">
        <v>-248144.30950490115</v>
      </c>
      <c r="AH590" s="3">
        <v>-248144.30950490115</v>
      </c>
      <c r="AI590" s="3">
        <v>200232990.12977809</v>
      </c>
      <c r="AJ590" s="3">
        <v>-68945.046398347535</v>
      </c>
    </row>
    <row r="591" spans="1:36" x14ac:dyDescent="0.2">
      <c r="A591" s="3" t="s">
        <v>36</v>
      </c>
      <c r="B591" s="3" t="s">
        <v>37</v>
      </c>
      <c r="C591" s="3" t="s">
        <v>56</v>
      </c>
      <c r="D591" s="3">
        <v>3</v>
      </c>
      <c r="E591" s="3">
        <v>2023</v>
      </c>
      <c r="F591" s="3">
        <v>1</v>
      </c>
      <c r="G591" s="3" t="s">
        <v>39</v>
      </c>
      <c r="H591" s="3" t="s">
        <v>46</v>
      </c>
      <c r="I591" s="5">
        <v>119714094.88640322</v>
      </c>
      <c r="J591" s="3">
        <v>0</v>
      </c>
      <c r="K591" s="3">
        <v>119714094.88640322</v>
      </c>
      <c r="L591" s="3">
        <v>119569002.68202165</v>
      </c>
      <c r="M591" s="3">
        <v>145092.20438155174</v>
      </c>
      <c r="N591" s="3">
        <v>478970.39392209856</v>
      </c>
      <c r="O591" s="3">
        <f t="shared" si="10"/>
        <v>0.40009523889112125</v>
      </c>
      <c r="P591" s="3">
        <v>54600</v>
      </c>
      <c r="Q591" s="3">
        <v>19404.839999999997</v>
      </c>
      <c r="R591" s="3">
        <v>315425.70524410496</v>
      </c>
      <c r="S591" s="3">
        <v>70759.625134694288</v>
      </c>
      <c r="T591" s="3">
        <v>4271.0031051441201</v>
      </c>
      <c r="U591" s="3">
        <v>14509.220438155173</v>
      </c>
      <c r="V591" s="3">
        <v>0</v>
      </c>
      <c r="W591" s="3">
        <v>0</v>
      </c>
      <c r="X591" s="3">
        <v>-333878.18954054685</v>
      </c>
      <c r="Y591" s="3">
        <v>81296.04807535508</v>
      </c>
      <c r="Z591" s="3">
        <v>102720.87385918545</v>
      </c>
      <c r="AA591" s="3">
        <v>-21424.825783830365</v>
      </c>
      <c r="AB591" s="3">
        <v>0</v>
      </c>
      <c r="AC591" s="3">
        <v>0</v>
      </c>
      <c r="AD591" s="3">
        <v>0</v>
      </c>
      <c r="AE591" s="3">
        <v>-355303.01532437722</v>
      </c>
      <c r="AF591" s="3">
        <v>0</v>
      </c>
      <c r="AG591" s="3">
        <v>-355303.01532437722</v>
      </c>
      <c r="AH591" s="3">
        <v>-355303.01532437722</v>
      </c>
      <c r="AI591" s="3">
        <v>119714094.88640322</v>
      </c>
      <c r="AJ591" s="3">
        <v>-160871.77492947757</v>
      </c>
    </row>
    <row r="592" spans="1:36" x14ac:dyDescent="0.2">
      <c r="A592" s="3" t="s">
        <v>36</v>
      </c>
      <c r="B592" s="3" t="s">
        <v>37</v>
      </c>
      <c r="C592" s="3" t="s">
        <v>56</v>
      </c>
      <c r="D592" s="3">
        <v>2</v>
      </c>
      <c r="E592" s="3">
        <v>2023</v>
      </c>
      <c r="F592" s="3">
        <v>1</v>
      </c>
      <c r="G592" s="3" t="s">
        <v>39</v>
      </c>
      <c r="H592" s="3" t="s">
        <v>46</v>
      </c>
      <c r="I592" s="5">
        <v>143190368.82431808</v>
      </c>
      <c r="J592" s="3">
        <v>0</v>
      </c>
      <c r="K592" s="3">
        <v>143190368.82431808</v>
      </c>
      <c r="L592" s="3">
        <v>142948791.70563772</v>
      </c>
      <c r="M592" s="3">
        <v>241577.11868034367</v>
      </c>
      <c r="N592" s="3">
        <v>379812.47991564928</v>
      </c>
      <c r="O592" s="3">
        <f t="shared" si="10"/>
        <v>0.26525001858305541</v>
      </c>
      <c r="P592" s="3">
        <v>42900</v>
      </c>
      <c r="Q592" s="3">
        <v>15246.660000000002</v>
      </c>
      <c r="R592" s="3">
        <v>254521.97180333448</v>
      </c>
      <c r="S592" s="3">
        <v>30439.848320116947</v>
      </c>
      <c r="T592" s="3">
        <v>3920.4399241634173</v>
      </c>
      <c r="U592" s="3">
        <v>24157.711868034363</v>
      </c>
      <c r="V592" s="3">
        <v>8625.8480000000018</v>
      </c>
      <c r="W592" s="3">
        <v>0</v>
      </c>
      <c r="X592" s="3">
        <v>-138235.36123530564</v>
      </c>
      <c r="Y592" s="3">
        <v>64293.429400284804</v>
      </c>
      <c r="Z592" s="3">
        <v>90069.143607118691</v>
      </c>
      <c r="AA592" s="3">
        <v>-25775.714206833891</v>
      </c>
      <c r="AB592" s="3">
        <v>0</v>
      </c>
      <c r="AC592" s="3">
        <v>0</v>
      </c>
      <c r="AD592" s="3">
        <v>0</v>
      </c>
      <c r="AE592" s="3">
        <v>-164011.07544213955</v>
      </c>
      <c r="AF592" s="3">
        <v>0</v>
      </c>
      <c r="AG592" s="3">
        <v>-164011.07544213955</v>
      </c>
      <c r="AH592" s="3">
        <v>-164011.07544213955</v>
      </c>
      <c r="AI592" s="3">
        <v>143190368.82431808</v>
      </c>
      <c r="AJ592" s="3">
        <v>-126399.25173030382</v>
      </c>
    </row>
    <row r="593" spans="1:36" x14ac:dyDescent="0.2">
      <c r="A593" s="3" t="s">
        <v>36</v>
      </c>
      <c r="B593" s="3" t="s">
        <v>37</v>
      </c>
      <c r="C593" s="3" t="s">
        <v>57</v>
      </c>
      <c r="D593" s="3">
        <v>3</v>
      </c>
      <c r="E593" s="3">
        <v>2023</v>
      </c>
      <c r="F593" s="3">
        <v>1</v>
      </c>
      <c r="G593" s="3" t="s">
        <v>42</v>
      </c>
      <c r="H593" s="3" t="s">
        <v>46</v>
      </c>
      <c r="I593" s="5">
        <v>56910</v>
      </c>
      <c r="J593" s="3">
        <v>3832.5</v>
      </c>
      <c r="K593" s="3">
        <v>53077.5</v>
      </c>
      <c r="L593" s="3">
        <v>34146</v>
      </c>
      <c r="M593" s="3">
        <v>18931.5</v>
      </c>
      <c r="N593" s="3">
        <v>35368.200000000004</v>
      </c>
      <c r="O593" s="3">
        <f t="shared" si="10"/>
        <v>66.635014836795264</v>
      </c>
      <c r="P593" s="3">
        <v>0</v>
      </c>
      <c r="Q593" s="3">
        <v>0</v>
      </c>
      <c r="R593" s="3">
        <v>0</v>
      </c>
      <c r="S593" s="3">
        <v>33475.050000000003</v>
      </c>
      <c r="T593" s="3">
        <v>0</v>
      </c>
      <c r="U593" s="3">
        <v>1893.15</v>
      </c>
      <c r="V593" s="3">
        <v>0</v>
      </c>
      <c r="W593" s="3">
        <v>0</v>
      </c>
      <c r="X593" s="3">
        <v>-16436.7</v>
      </c>
      <c r="Y593" s="3">
        <v>0</v>
      </c>
      <c r="Z593" s="3">
        <v>4011.4347670317761</v>
      </c>
      <c r="AA593" s="3">
        <v>-4011.4347670317761</v>
      </c>
      <c r="AB593" s="3">
        <v>0</v>
      </c>
      <c r="AC593" s="3">
        <v>0</v>
      </c>
      <c r="AD593" s="3">
        <v>0</v>
      </c>
      <c r="AE593" s="3">
        <v>-20448.134767031777</v>
      </c>
      <c r="AF593" s="3">
        <v>0</v>
      </c>
      <c r="AG593" s="3">
        <v>-20448.134767031777</v>
      </c>
      <c r="AH593" s="3">
        <v>-20448.134767031777</v>
      </c>
      <c r="AI593" s="3">
        <v>0</v>
      </c>
      <c r="AJ593" s="3">
        <v>0</v>
      </c>
    </row>
    <row r="594" spans="1:36" x14ac:dyDescent="0.2">
      <c r="A594" s="3" t="s">
        <v>36</v>
      </c>
      <c r="B594" s="3" t="s">
        <v>37</v>
      </c>
      <c r="C594" s="3" t="s">
        <v>57</v>
      </c>
      <c r="D594" s="3">
        <v>1</v>
      </c>
      <c r="E594" s="3">
        <v>2023</v>
      </c>
      <c r="F594" s="3">
        <v>1</v>
      </c>
      <c r="G594" s="3" t="s">
        <v>42</v>
      </c>
      <c r="H594" s="3" t="s">
        <v>46</v>
      </c>
      <c r="I594" s="5">
        <v>120328</v>
      </c>
      <c r="J594" s="3">
        <v>0</v>
      </c>
      <c r="K594" s="3">
        <v>120328</v>
      </c>
      <c r="L594" s="3">
        <v>72196.800000000003</v>
      </c>
      <c r="M594" s="3">
        <v>48131.199999999997</v>
      </c>
      <c r="N594" s="3">
        <v>5885.62</v>
      </c>
      <c r="O594" s="3">
        <f t="shared" si="10"/>
        <v>4.8913137424373376</v>
      </c>
      <c r="P594" s="3">
        <v>0</v>
      </c>
      <c r="Q594" s="3">
        <v>0</v>
      </c>
      <c r="R594" s="3">
        <v>0</v>
      </c>
      <c r="S594" s="3">
        <v>1072.5</v>
      </c>
      <c r="T594" s="3">
        <v>0</v>
      </c>
      <c r="U594" s="3">
        <v>4813.12</v>
      </c>
      <c r="V594" s="3">
        <v>0</v>
      </c>
      <c r="W594" s="3">
        <v>0</v>
      </c>
      <c r="X594" s="3">
        <v>42245.58</v>
      </c>
      <c r="Y594" s="3">
        <v>0</v>
      </c>
      <c r="Z594" s="3">
        <v>2353.4302935718988</v>
      </c>
      <c r="AA594" s="3">
        <v>-2353.4302935718988</v>
      </c>
      <c r="AB594" s="3">
        <v>0</v>
      </c>
      <c r="AC594" s="3">
        <v>0</v>
      </c>
      <c r="AD594" s="3">
        <v>0</v>
      </c>
      <c r="AE594" s="3">
        <v>39892.149706428107</v>
      </c>
      <c r="AF594" s="3">
        <v>0</v>
      </c>
      <c r="AG594" s="3">
        <v>39892.149706428107</v>
      </c>
      <c r="AH594" s="3">
        <v>39892.149706428107</v>
      </c>
      <c r="AI594" s="3">
        <v>130000</v>
      </c>
      <c r="AJ594" s="3">
        <v>1300</v>
      </c>
    </row>
    <row r="595" spans="1:36" x14ac:dyDescent="0.2">
      <c r="A595" s="3" t="s">
        <v>36</v>
      </c>
      <c r="B595" s="3" t="s">
        <v>37</v>
      </c>
      <c r="C595" s="3" t="s">
        <v>57</v>
      </c>
      <c r="D595" s="3">
        <v>2</v>
      </c>
      <c r="E595" s="3">
        <v>2023</v>
      </c>
      <c r="F595" s="3">
        <v>1</v>
      </c>
      <c r="G595" s="3" t="s">
        <v>42</v>
      </c>
      <c r="H595" s="3" t="s">
        <v>46</v>
      </c>
      <c r="I595" s="5">
        <v>766896</v>
      </c>
      <c r="J595" s="3">
        <v>1752</v>
      </c>
      <c r="K595" s="3">
        <v>765144</v>
      </c>
      <c r="L595" s="3">
        <v>460137.60000000003</v>
      </c>
      <c r="M595" s="3">
        <v>305006.40000000002</v>
      </c>
      <c r="N595" s="3">
        <v>41607.839999999997</v>
      </c>
      <c r="O595" s="3">
        <f t="shared" si="10"/>
        <v>5.4379097267965237</v>
      </c>
      <c r="P595" s="3">
        <v>0</v>
      </c>
      <c r="Q595" s="3">
        <v>0</v>
      </c>
      <c r="R595" s="3">
        <v>0</v>
      </c>
      <c r="S595" s="3">
        <v>11107.2</v>
      </c>
      <c r="T595" s="3">
        <v>0</v>
      </c>
      <c r="U595" s="3">
        <v>30500.639999999999</v>
      </c>
      <c r="V595" s="3">
        <v>0</v>
      </c>
      <c r="W595" s="3">
        <v>0</v>
      </c>
      <c r="X595" s="3">
        <v>263398.56</v>
      </c>
      <c r="Y595" s="3">
        <v>0</v>
      </c>
      <c r="Z595" s="3">
        <v>4344.7943881327365</v>
      </c>
      <c r="AA595" s="3">
        <v>-4344.7943881327365</v>
      </c>
      <c r="AB595" s="3">
        <v>0</v>
      </c>
      <c r="AC595" s="3">
        <v>0</v>
      </c>
      <c r="AD595" s="3">
        <v>0</v>
      </c>
      <c r="AE595" s="3">
        <v>259053.76561186727</v>
      </c>
      <c r="AF595" s="3">
        <v>0</v>
      </c>
      <c r="AG595" s="3">
        <v>259053.76561186727</v>
      </c>
      <c r="AH595" s="3">
        <v>259053.76561186727</v>
      </c>
      <c r="AI595" s="3">
        <v>0</v>
      </c>
      <c r="AJ595" s="3">
        <v>0</v>
      </c>
    </row>
    <row r="596" spans="1:36" x14ac:dyDescent="0.2">
      <c r="A596" s="3" t="s">
        <v>36</v>
      </c>
      <c r="B596" s="3" t="s">
        <v>37</v>
      </c>
      <c r="C596" s="3" t="s">
        <v>57</v>
      </c>
      <c r="D596" s="3">
        <v>1</v>
      </c>
      <c r="E596" s="3">
        <v>2023</v>
      </c>
      <c r="F596" s="3">
        <v>1</v>
      </c>
      <c r="G596" s="3" t="s">
        <v>48</v>
      </c>
      <c r="H596" s="3" t="s">
        <v>46</v>
      </c>
      <c r="I596" s="5">
        <v>13707106</v>
      </c>
      <c r="J596" s="3">
        <v>81816</v>
      </c>
      <c r="K596" s="3">
        <v>13625290</v>
      </c>
      <c r="L596" s="3">
        <v>9472143.5199999977</v>
      </c>
      <c r="M596" s="3">
        <v>4153146.48</v>
      </c>
      <c r="N596" s="3">
        <v>3163224.5484898239</v>
      </c>
      <c r="O596" s="3">
        <f t="shared" si="10"/>
        <v>23.2158328262358</v>
      </c>
      <c r="P596" s="3">
        <v>774200</v>
      </c>
      <c r="Q596" s="3">
        <v>449446.80215207458</v>
      </c>
      <c r="R596" s="3">
        <v>849960.04584255524</v>
      </c>
      <c r="S596" s="3">
        <v>226243.09961047966</v>
      </c>
      <c r="T596" s="3">
        <v>89262.867041376463</v>
      </c>
      <c r="U596" s="3">
        <v>435854.37590501667</v>
      </c>
      <c r="V596" s="3">
        <v>338257.35793832142</v>
      </c>
      <c r="W596" s="3">
        <v>0</v>
      </c>
      <c r="X596" s="3">
        <v>989921.93151017581</v>
      </c>
      <c r="Y596" s="3">
        <v>0</v>
      </c>
      <c r="Z596" s="3">
        <v>357054.46822417266</v>
      </c>
      <c r="AA596" s="3">
        <v>-357054.46822417266</v>
      </c>
      <c r="AB596" s="3">
        <v>0</v>
      </c>
      <c r="AC596" s="3">
        <v>97558.308645741257</v>
      </c>
      <c r="AD596" s="3">
        <v>-97558.308645741257</v>
      </c>
      <c r="AE596" s="3">
        <v>535309.15464026167</v>
      </c>
      <c r="AF596" s="3">
        <v>0</v>
      </c>
      <c r="AG596" s="3">
        <v>535309.15464026167</v>
      </c>
      <c r="AH596" s="3">
        <v>535309.15464026167</v>
      </c>
      <c r="AI596" s="3">
        <v>11760000</v>
      </c>
      <c r="AJ596" s="3">
        <v>117600</v>
      </c>
    </row>
    <row r="597" spans="1:36" x14ac:dyDescent="0.2">
      <c r="A597" s="3" t="s">
        <v>36</v>
      </c>
      <c r="B597" s="3" t="s">
        <v>37</v>
      </c>
      <c r="C597" s="3" t="s">
        <v>57</v>
      </c>
      <c r="D597" s="3">
        <v>3</v>
      </c>
      <c r="E597" s="3">
        <v>2023</v>
      </c>
      <c r="F597" s="3">
        <v>1</v>
      </c>
      <c r="G597" s="3" t="s">
        <v>48</v>
      </c>
      <c r="H597" s="3" t="s">
        <v>46</v>
      </c>
      <c r="I597" s="5">
        <v>22362525</v>
      </c>
      <c r="J597" s="3">
        <v>1288600</v>
      </c>
      <c r="K597" s="3">
        <v>21073925</v>
      </c>
      <c r="L597" s="3">
        <v>14113135.625</v>
      </c>
      <c r="M597" s="3">
        <v>6960789.375</v>
      </c>
      <c r="N597" s="3">
        <v>5208985.4005058641</v>
      </c>
      <c r="O597" s="3">
        <f t="shared" si="10"/>
        <v>24.71768026367117</v>
      </c>
      <c r="P597" s="3">
        <v>1382500</v>
      </c>
      <c r="Q597" s="3">
        <v>802583.57527156186</v>
      </c>
      <c r="R597" s="3">
        <v>1115791.926187854</v>
      </c>
      <c r="S597" s="3">
        <v>403845.76521687739</v>
      </c>
      <c r="T597" s="3">
        <v>676555.29435508244</v>
      </c>
      <c r="U597" s="3">
        <v>570200.58439810341</v>
      </c>
      <c r="V597" s="3">
        <v>257508.25507638438</v>
      </c>
      <c r="W597" s="3">
        <v>0</v>
      </c>
      <c r="X597" s="3">
        <v>1751803.9744941359</v>
      </c>
      <c r="Y597" s="3">
        <v>0</v>
      </c>
      <c r="Z597" s="3">
        <v>662102.71884502622</v>
      </c>
      <c r="AA597" s="3">
        <v>-662102.71884502622</v>
      </c>
      <c r="AB597" s="3">
        <v>0</v>
      </c>
      <c r="AC597" s="3">
        <v>203413.56868958639</v>
      </c>
      <c r="AD597" s="3">
        <v>-203413.56868958639</v>
      </c>
      <c r="AE597" s="3">
        <v>886287.68695952359</v>
      </c>
      <c r="AF597" s="3">
        <v>0</v>
      </c>
      <c r="AG597" s="3">
        <v>886287.68695952359</v>
      </c>
      <c r="AH597" s="3">
        <v>886287.68695952359</v>
      </c>
      <c r="AI597" s="3">
        <v>20000000</v>
      </c>
      <c r="AJ597" s="3">
        <v>600000</v>
      </c>
    </row>
    <row r="598" spans="1:36" x14ac:dyDescent="0.2">
      <c r="A598" s="3" t="s">
        <v>36</v>
      </c>
      <c r="B598" s="3" t="s">
        <v>37</v>
      </c>
      <c r="C598" s="3" t="s">
        <v>57</v>
      </c>
      <c r="D598" s="3">
        <v>2</v>
      </c>
      <c r="E598" s="3">
        <v>2023</v>
      </c>
      <c r="F598" s="3">
        <v>1</v>
      </c>
      <c r="G598" s="3" t="s">
        <v>48</v>
      </c>
      <c r="H598" s="3" t="s">
        <v>46</v>
      </c>
      <c r="I598" s="5">
        <v>32049340</v>
      </c>
      <c r="J598" s="3">
        <v>1001463.6</v>
      </c>
      <c r="K598" s="3">
        <v>31047876.400000002</v>
      </c>
      <c r="L598" s="3">
        <v>20819191.780000001</v>
      </c>
      <c r="M598" s="3">
        <v>10228684.620000001</v>
      </c>
      <c r="N598" s="3">
        <v>4675814.6298179217</v>
      </c>
      <c r="O598" s="3">
        <f t="shared" si="10"/>
        <v>15.060014313307176</v>
      </c>
      <c r="P598" s="3">
        <v>1106000</v>
      </c>
      <c r="Q598" s="3">
        <v>642066.86021724949</v>
      </c>
      <c r="R598" s="3">
        <v>1032488.1523872477</v>
      </c>
      <c r="S598" s="3">
        <v>343780.22099978372</v>
      </c>
      <c r="T598" s="3">
        <v>330104.59215191391</v>
      </c>
      <c r="U598" s="3">
        <v>705429.88883085409</v>
      </c>
      <c r="V598" s="3">
        <v>515944.91523087322</v>
      </c>
      <c r="W598" s="3">
        <v>0</v>
      </c>
      <c r="X598" s="3">
        <v>5552869.9901820775</v>
      </c>
      <c r="Y598" s="3">
        <v>0</v>
      </c>
      <c r="Z598" s="3">
        <v>520830.45853405027</v>
      </c>
      <c r="AA598" s="3">
        <v>-520830.45853405027</v>
      </c>
      <c r="AB598" s="3">
        <v>0</v>
      </c>
      <c r="AC598" s="3">
        <v>185584.44354682873</v>
      </c>
      <c r="AD598" s="3">
        <v>-185584.44354682873</v>
      </c>
      <c r="AE598" s="3">
        <v>4846455.0881011989</v>
      </c>
      <c r="AF598" s="3">
        <v>0</v>
      </c>
      <c r="AG598" s="3">
        <v>4846455.0881011989</v>
      </c>
      <c r="AH598" s="3">
        <v>4846455.0881011989</v>
      </c>
      <c r="AI598" s="3">
        <v>27200000</v>
      </c>
      <c r="AJ598" s="3">
        <v>272000</v>
      </c>
    </row>
    <row r="599" spans="1:36" x14ac:dyDescent="0.2">
      <c r="A599" s="3" t="s">
        <v>36</v>
      </c>
      <c r="B599" s="3" t="s">
        <v>37</v>
      </c>
      <c r="C599" s="3" t="s">
        <v>57</v>
      </c>
      <c r="D599" s="3">
        <v>1</v>
      </c>
      <c r="E599" s="3">
        <v>2023</v>
      </c>
      <c r="F599" s="3">
        <v>1</v>
      </c>
      <c r="G599" s="3" t="s">
        <v>39</v>
      </c>
      <c r="H599" s="3" t="s">
        <v>46</v>
      </c>
      <c r="I599" s="5">
        <v>376706276.48403937</v>
      </c>
      <c r="J599" s="3">
        <v>0</v>
      </c>
      <c r="K599" s="3">
        <v>376706276.48403937</v>
      </c>
      <c r="L599" s="3">
        <v>375905429.83753568</v>
      </c>
      <c r="M599" s="3">
        <v>800846.64650372323</v>
      </c>
      <c r="N599" s="3">
        <v>1018485.6392913496</v>
      </c>
      <c r="O599" s="3">
        <f t="shared" si="10"/>
        <v>0.27036598614637142</v>
      </c>
      <c r="P599" s="3">
        <v>101500</v>
      </c>
      <c r="Q599" s="3">
        <v>18809.080999999998</v>
      </c>
      <c r="R599" s="3">
        <v>672242.35255218809</v>
      </c>
      <c r="S599" s="3">
        <v>116794.53698535892</v>
      </c>
      <c r="T599" s="3">
        <v>17076.728103430225</v>
      </c>
      <c r="U599" s="3">
        <v>80084.664650372317</v>
      </c>
      <c r="V599" s="3">
        <v>11978.275999999998</v>
      </c>
      <c r="W599" s="3">
        <v>0</v>
      </c>
      <c r="X599" s="3">
        <v>-217638.99278762637</v>
      </c>
      <c r="Y599" s="3">
        <v>277332.70184557012</v>
      </c>
      <c r="Z599" s="3">
        <v>307063.89363607723</v>
      </c>
      <c r="AA599" s="3">
        <v>-29731.191790507102</v>
      </c>
      <c r="AB599" s="3">
        <v>0</v>
      </c>
      <c r="AC599" s="3">
        <v>0</v>
      </c>
      <c r="AD599" s="3">
        <v>0</v>
      </c>
      <c r="AE599" s="3">
        <v>-247370.18457813349</v>
      </c>
      <c r="AF599" s="3">
        <v>0</v>
      </c>
      <c r="AG599" s="3">
        <v>-247370.18457813349</v>
      </c>
      <c r="AH599" s="3">
        <v>-247370.18457813349</v>
      </c>
      <c r="AI599" s="3">
        <v>1536706276.4840393</v>
      </c>
      <c r="AJ599" s="3">
        <v>-60014.15586314047</v>
      </c>
    </row>
    <row r="600" spans="1:36" x14ac:dyDescent="0.2">
      <c r="A600" s="3" t="s">
        <v>36</v>
      </c>
      <c r="B600" s="3" t="s">
        <v>37</v>
      </c>
      <c r="C600" s="3" t="s">
        <v>57</v>
      </c>
      <c r="D600" s="3">
        <v>3</v>
      </c>
      <c r="E600" s="3">
        <v>2023</v>
      </c>
      <c r="F600" s="3">
        <v>1</v>
      </c>
      <c r="G600" s="3" t="s">
        <v>39</v>
      </c>
      <c r="H600" s="3" t="s">
        <v>46</v>
      </c>
      <c r="I600" s="5">
        <v>564143300.41038811</v>
      </c>
      <c r="J600" s="3">
        <v>0</v>
      </c>
      <c r="K600" s="3">
        <v>564143300.41038811</v>
      </c>
      <c r="L600" s="3">
        <v>563459564.75569093</v>
      </c>
      <c r="M600" s="3">
        <v>683735.65469714359</v>
      </c>
      <c r="N600" s="3">
        <v>798512.99097998673</v>
      </c>
      <c r="O600" s="3">
        <f t="shared" si="10"/>
        <v>0.14154435413823147</v>
      </c>
      <c r="P600" s="3">
        <v>77000.000000000015</v>
      </c>
      <c r="Q600" s="3">
        <v>34308.670000000006</v>
      </c>
      <c r="R600" s="3">
        <v>489878.04353425326</v>
      </c>
      <c r="S600" s="3">
        <v>101170.75219578951</v>
      </c>
      <c r="T600" s="3">
        <v>20126.767780229689</v>
      </c>
      <c r="U600" s="3">
        <v>68373.565469714362</v>
      </c>
      <c r="V600" s="3">
        <v>7705.1920000000009</v>
      </c>
      <c r="W600" s="3">
        <v>0</v>
      </c>
      <c r="X600" s="3">
        <v>-114777.33628284323</v>
      </c>
      <c r="Y600" s="3">
        <v>383101.26234568679</v>
      </c>
      <c r="Z600" s="3">
        <v>484064.07662312582</v>
      </c>
      <c r="AA600" s="3">
        <v>-100962.81427743897</v>
      </c>
      <c r="AB600" s="3">
        <v>0</v>
      </c>
      <c r="AC600" s="3">
        <v>0</v>
      </c>
      <c r="AD600" s="3">
        <v>0</v>
      </c>
      <c r="AE600" s="3">
        <v>-215740.1505602822</v>
      </c>
      <c r="AF600" s="3">
        <v>0</v>
      </c>
      <c r="AG600" s="3">
        <v>-215740.1505602822</v>
      </c>
      <c r="AH600" s="3">
        <v>-215740.1505602822</v>
      </c>
      <c r="AI600" s="3">
        <v>564143300.41038811</v>
      </c>
      <c r="AJ600" s="3">
        <v>-75879.967183281056</v>
      </c>
    </row>
    <row r="601" spans="1:36" x14ac:dyDescent="0.2">
      <c r="A601" s="3" t="s">
        <v>36</v>
      </c>
      <c r="B601" s="3" t="s">
        <v>37</v>
      </c>
      <c r="C601" s="3" t="s">
        <v>57</v>
      </c>
      <c r="D601" s="3">
        <v>2</v>
      </c>
      <c r="E601" s="3">
        <v>2023</v>
      </c>
      <c r="F601" s="3">
        <v>1</v>
      </c>
      <c r="G601" s="3" t="s">
        <v>39</v>
      </c>
      <c r="H601" s="3" t="s">
        <v>46</v>
      </c>
      <c r="I601" s="5">
        <v>695576559.99475062</v>
      </c>
      <c r="J601" s="3">
        <v>0</v>
      </c>
      <c r="K601" s="3">
        <v>695576559.99475062</v>
      </c>
      <c r="L601" s="3">
        <v>694403049.63532627</v>
      </c>
      <c r="M601" s="3">
        <v>1173510.3594243163</v>
      </c>
      <c r="N601" s="3">
        <v>700650.3549821059</v>
      </c>
      <c r="O601" s="3">
        <f t="shared" si="10"/>
        <v>0.10072943731562684</v>
      </c>
      <c r="P601" s="3">
        <v>63000</v>
      </c>
      <c r="Q601" s="3">
        <v>28070.73</v>
      </c>
      <c r="R601" s="3">
        <v>412958.89782048418</v>
      </c>
      <c r="S601" s="3">
        <v>51415.160887464153</v>
      </c>
      <c r="T601" s="3">
        <v>19044.340331725922</v>
      </c>
      <c r="U601" s="3">
        <v>117351.03594243164</v>
      </c>
      <c r="V601" s="3">
        <v>8810.19</v>
      </c>
      <c r="W601" s="3">
        <v>0</v>
      </c>
      <c r="X601" s="3">
        <v>472860.00444221048</v>
      </c>
      <c r="Y601" s="3">
        <v>312318.50870769232</v>
      </c>
      <c r="Z601" s="3">
        <v>437529.32258159621</v>
      </c>
      <c r="AA601" s="3">
        <v>-125210.81387390384</v>
      </c>
      <c r="AB601" s="3">
        <v>0</v>
      </c>
      <c r="AC601" s="3">
        <v>0</v>
      </c>
      <c r="AD601" s="3">
        <v>0</v>
      </c>
      <c r="AE601" s="3">
        <v>347649.19056830666</v>
      </c>
      <c r="AF601" s="3">
        <v>0</v>
      </c>
      <c r="AG601" s="3">
        <v>347649.19056830666</v>
      </c>
      <c r="AH601" s="3">
        <v>347649.19056830666</v>
      </c>
      <c r="AI601" s="3">
        <v>695576559.99475062</v>
      </c>
      <c r="AJ601" s="3">
        <v>-62083.60951359359</v>
      </c>
    </row>
    <row r="602" spans="1:36" x14ac:dyDescent="0.2">
      <c r="A602" s="3" t="s">
        <v>36</v>
      </c>
      <c r="B602" s="3" t="s">
        <v>37</v>
      </c>
      <c r="C602" s="3" t="s">
        <v>103</v>
      </c>
      <c r="D602" s="3">
        <v>3</v>
      </c>
      <c r="E602" s="3">
        <v>2023</v>
      </c>
      <c r="F602" s="3">
        <v>1</v>
      </c>
      <c r="G602" s="3" t="s">
        <v>42</v>
      </c>
      <c r="H602" s="3" t="s">
        <v>46</v>
      </c>
      <c r="I602" s="5">
        <v>115700</v>
      </c>
      <c r="J602" s="3">
        <v>6578</v>
      </c>
      <c r="K602" s="3">
        <v>109122</v>
      </c>
      <c r="L602" s="3">
        <v>69420</v>
      </c>
      <c r="M602" s="3">
        <v>39702</v>
      </c>
      <c r="N602" s="3">
        <v>30672.199999999997</v>
      </c>
      <c r="O602" s="3">
        <f t="shared" si="10"/>
        <v>28.108172504169644</v>
      </c>
      <c r="P602" s="3">
        <v>0</v>
      </c>
      <c r="Q602" s="3">
        <v>0</v>
      </c>
      <c r="R602" s="3">
        <v>0</v>
      </c>
      <c r="S602" s="3">
        <v>26702</v>
      </c>
      <c r="T602" s="3">
        <v>0</v>
      </c>
      <c r="U602" s="3">
        <v>3970.2</v>
      </c>
      <c r="V602" s="3">
        <v>0</v>
      </c>
      <c r="W602" s="3">
        <v>0</v>
      </c>
      <c r="X602" s="3">
        <v>9029.7999999999993</v>
      </c>
      <c r="Y602" s="3">
        <v>0</v>
      </c>
      <c r="Z602" s="3">
        <v>1798.9236670545504</v>
      </c>
      <c r="AA602" s="3">
        <v>-1798.9236670545504</v>
      </c>
      <c r="AB602" s="3">
        <v>0</v>
      </c>
      <c r="AC602" s="3">
        <v>0</v>
      </c>
      <c r="AD602" s="3">
        <v>0</v>
      </c>
      <c r="AE602" s="3">
        <v>7230.8763329454496</v>
      </c>
      <c r="AF602" s="3">
        <v>0</v>
      </c>
      <c r="AG602" s="3">
        <v>7230.8763329454496</v>
      </c>
      <c r="AH602" s="3">
        <v>7230.8763329454496</v>
      </c>
      <c r="AI602" s="3">
        <v>0</v>
      </c>
      <c r="AJ602" s="3">
        <v>0</v>
      </c>
    </row>
    <row r="603" spans="1:36" x14ac:dyDescent="0.2">
      <c r="A603" s="3" t="s">
        <v>36</v>
      </c>
      <c r="B603" s="3" t="s">
        <v>37</v>
      </c>
      <c r="C603" s="3" t="s">
        <v>103</v>
      </c>
      <c r="D603" s="3">
        <v>1</v>
      </c>
      <c r="E603" s="3">
        <v>2023</v>
      </c>
      <c r="F603" s="3">
        <v>1</v>
      </c>
      <c r="G603" s="3" t="s">
        <v>42</v>
      </c>
      <c r="H603" s="3" t="s">
        <v>46</v>
      </c>
      <c r="I603" s="5">
        <v>205800</v>
      </c>
      <c r="J603" s="3">
        <v>0</v>
      </c>
      <c r="K603" s="3">
        <v>205800</v>
      </c>
      <c r="L603" s="3">
        <v>123480</v>
      </c>
      <c r="M603" s="3">
        <v>82320</v>
      </c>
      <c r="N603" s="3">
        <v>8232</v>
      </c>
      <c r="O603" s="3">
        <f t="shared" si="10"/>
        <v>4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8232</v>
      </c>
      <c r="V603" s="3">
        <v>0</v>
      </c>
      <c r="W603" s="3">
        <v>0</v>
      </c>
      <c r="X603" s="3">
        <v>74088</v>
      </c>
      <c r="Y603" s="3">
        <v>0</v>
      </c>
      <c r="Z603" s="3">
        <v>1551.2173028624748</v>
      </c>
      <c r="AA603" s="3">
        <v>-1551.2173028624748</v>
      </c>
      <c r="AB603" s="3">
        <v>0</v>
      </c>
      <c r="AC603" s="3">
        <v>0</v>
      </c>
      <c r="AD603" s="3">
        <v>0</v>
      </c>
      <c r="AE603" s="3">
        <v>72536.782697137533</v>
      </c>
      <c r="AF603" s="3">
        <v>0</v>
      </c>
      <c r="AG603" s="3">
        <v>72536.782697137533</v>
      </c>
      <c r="AH603" s="3">
        <v>72536.782697137533</v>
      </c>
      <c r="AI603" s="3">
        <v>240000</v>
      </c>
      <c r="AJ603" s="3">
        <v>2400</v>
      </c>
    </row>
    <row r="604" spans="1:36" x14ac:dyDescent="0.2">
      <c r="A604" s="3" t="s">
        <v>36</v>
      </c>
      <c r="B604" s="3" t="s">
        <v>37</v>
      </c>
      <c r="C604" s="3" t="s">
        <v>103</v>
      </c>
      <c r="D604" s="3">
        <v>2</v>
      </c>
      <c r="E604" s="3">
        <v>2023</v>
      </c>
      <c r="F604" s="3">
        <v>1</v>
      </c>
      <c r="G604" s="3" t="s">
        <v>42</v>
      </c>
      <c r="H604" s="3" t="s">
        <v>46</v>
      </c>
      <c r="I604" s="5">
        <v>206700</v>
      </c>
      <c r="J604" s="3">
        <v>1300</v>
      </c>
      <c r="K604" s="3">
        <v>205400</v>
      </c>
      <c r="L604" s="3">
        <v>124020</v>
      </c>
      <c r="M604" s="3">
        <v>81380</v>
      </c>
      <c r="N604" s="3">
        <v>13283</v>
      </c>
      <c r="O604" s="3">
        <f t="shared" si="10"/>
        <v>6.4668938656280428</v>
      </c>
      <c r="P604" s="3">
        <v>0</v>
      </c>
      <c r="Q604" s="3">
        <v>0</v>
      </c>
      <c r="R604" s="3">
        <v>0</v>
      </c>
      <c r="S604" s="3">
        <v>5145</v>
      </c>
      <c r="T604" s="3">
        <v>0</v>
      </c>
      <c r="U604" s="3">
        <v>8138</v>
      </c>
      <c r="V604" s="3">
        <v>0</v>
      </c>
      <c r="W604" s="3">
        <v>0</v>
      </c>
      <c r="X604" s="3">
        <v>68097</v>
      </c>
      <c r="Y604" s="3">
        <v>0</v>
      </c>
      <c r="Z604" s="3">
        <v>775.60865143123738</v>
      </c>
      <c r="AA604" s="3">
        <v>-775.60865143123738</v>
      </c>
      <c r="AB604" s="3">
        <v>0</v>
      </c>
      <c r="AC604" s="3">
        <v>0</v>
      </c>
      <c r="AD604" s="3">
        <v>0</v>
      </c>
      <c r="AE604" s="3">
        <v>67321.391348568752</v>
      </c>
      <c r="AF604" s="3">
        <v>0</v>
      </c>
      <c r="AG604" s="3">
        <v>67321.391348568752</v>
      </c>
      <c r="AH604" s="3">
        <v>67321.391348568752</v>
      </c>
      <c r="AI604" s="3">
        <v>0</v>
      </c>
      <c r="AJ604" s="3">
        <v>0</v>
      </c>
    </row>
    <row r="605" spans="1:36" x14ac:dyDescent="0.2">
      <c r="A605" s="3" t="s">
        <v>36</v>
      </c>
      <c r="B605" s="3" t="s">
        <v>37</v>
      </c>
      <c r="C605" s="3" t="s">
        <v>103</v>
      </c>
      <c r="D605" s="3">
        <v>1</v>
      </c>
      <c r="E605" s="3">
        <v>2023</v>
      </c>
      <c r="F605" s="3">
        <v>1</v>
      </c>
      <c r="G605" s="3" t="s">
        <v>48</v>
      </c>
      <c r="H605" s="3" t="s">
        <v>46</v>
      </c>
      <c r="I605" s="5">
        <v>4139058.0000000005</v>
      </c>
      <c r="J605" s="3">
        <v>1485</v>
      </c>
      <c r="K605" s="3">
        <v>4137573.0000000005</v>
      </c>
      <c r="L605" s="3">
        <v>2523889.6430000002</v>
      </c>
      <c r="M605" s="3">
        <v>1613683.3570000003</v>
      </c>
      <c r="N605" s="3">
        <v>1297645.2409390335</v>
      </c>
      <c r="O605" s="3">
        <f t="shared" si="10"/>
        <v>31.362473627390582</v>
      </c>
      <c r="P605" s="3">
        <v>371250</v>
      </c>
      <c r="Q605" s="3">
        <v>375955.75263824884</v>
      </c>
      <c r="R605" s="3">
        <v>250239.7088140501</v>
      </c>
      <c r="S605" s="3">
        <v>51599.687872879069</v>
      </c>
      <c r="T605" s="3">
        <v>26954.207834282864</v>
      </c>
      <c r="U605" s="3">
        <v>131612.50386658328</v>
      </c>
      <c r="V605" s="3">
        <v>90033.379912989491</v>
      </c>
      <c r="W605" s="3">
        <v>0</v>
      </c>
      <c r="X605" s="3">
        <v>316038.11606096668</v>
      </c>
      <c r="Y605" s="3">
        <v>0</v>
      </c>
      <c r="Z605" s="3">
        <v>255406.40146770925</v>
      </c>
      <c r="AA605" s="3">
        <v>-255406.40146770925</v>
      </c>
      <c r="AB605" s="3">
        <v>0</v>
      </c>
      <c r="AC605" s="3">
        <v>29459.135857461421</v>
      </c>
      <c r="AD605" s="3">
        <v>-29459.135857461421</v>
      </c>
      <c r="AE605" s="3">
        <v>31172.578735795996</v>
      </c>
      <c r="AF605" s="3">
        <v>0</v>
      </c>
      <c r="AG605" s="3">
        <v>31172.578735795996</v>
      </c>
      <c r="AH605" s="3">
        <v>31172.578735795996</v>
      </c>
      <c r="AI605" s="3">
        <v>5060000.0000000009</v>
      </c>
      <c r="AJ605" s="3">
        <v>25300</v>
      </c>
    </row>
    <row r="606" spans="1:36" x14ac:dyDescent="0.2">
      <c r="A606" s="3" t="s">
        <v>36</v>
      </c>
      <c r="B606" s="3" t="s">
        <v>37</v>
      </c>
      <c r="C606" s="3" t="s">
        <v>103</v>
      </c>
      <c r="D606" s="3">
        <v>2</v>
      </c>
      <c r="E606" s="3">
        <v>2023</v>
      </c>
      <c r="F606" s="3">
        <v>1</v>
      </c>
      <c r="G606" s="3" t="s">
        <v>48</v>
      </c>
      <c r="H606" s="3" t="s">
        <v>46</v>
      </c>
      <c r="I606" s="5">
        <v>9848287</v>
      </c>
      <c r="J606" s="3">
        <v>325964.96999999997</v>
      </c>
      <c r="K606" s="3">
        <v>9522322.0299999993</v>
      </c>
      <c r="L606" s="3">
        <v>6329846.8269999987</v>
      </c>
      <c r="M606" s="3">
        <v>3192475.2030000002</v>
      </c>
      <c r="N606" s="3">
        <v>2091326.8778130566</v>
      </c>
      <c r="O606" s="3">
        <f t="shared" si="10"/>
        <v>21.962362449246601</v>
      </c>
      <c r="P606" s="3">
        <v>573750</v>
      </c>
      <c r="Q606" s="3">
        <v>581022.52680456627</v>
      </c>
      <c r="R606" s="3">
        <v>395819.67373784172</v>
      </c>
      <c r="S606" s="3">
        <v>83067.442591194194</v>
      </c>
      <c r="T606" s="3">
        <v>101436.24684720482</v>
      </c>
      <c r="U606" s="3">
        <v>216768.14572731746</v>
      </c>
      <c r="V606" s="3">
        <v>139462.84210493256</v>
      </c>
      <c r="W606" s="3">
        <v>0</v>
      </c>
      <c r="X606" s="3">
        <v>1101198.325186945</v>
      </c>
      <c r="Y606" s="3">
        <v>0</v>
      </c>
      <c r="Z606" s="3">
        <v>666730.58343312924</v>
      </c>
      <c r="AA606" s="3">
        <v>-666730.58343312924</v>
      </c>
      <c r="AB606" s="3">
        <v>0</v>
      </c>
      <c r="AC606" s="3">
        <v>57027.347919940541</v>
      </c>
      <c r="AD606" s="3">
        <v>-57027.347919940541</v>
      </c>
      <c r="AE606" s="3">
        <v>377390.39383387356</v>
      </c>
      <c r="AF606" s="3">
        <v>0</v>
      </c>
      <c r="AG606" s="3">
        <v>377390.39383387356</v>
      </c>
      <c r="AH606" s="3">
        <v>377390.39383387356</v>
      </c>
      <c r="AI606" s="3">
        <v>7650000</v>
      </c>
      <c r="AJ606" s="3">
        <v>38250</v>
      </c>
    </row>
    <row r="607" spans="1:36" x14ac:dyDescent="0.2">
      <c r="A607" s="3" t="s">
        <v>36</v>
      </c>
      <c r="B607" s="3" t="s">
        <v>37</v>
      </c>
      <c r="C607" s="3" t="s">
        <v>103</v>
      </c>
      <c r="D607" s="3">
        <v>3</v>
      </c>
      <c r="E607" s="3">
        <v>2023</v>
      </c>
      <c r="F607" s="3">
        <v>1</v>
      </c>
      <c r="G607" s="3" t="s">
        <v>48</v>
      </c>
      <c r="H607" s="3" t="s">
        <v>46</v>
      </c>
      <c r="I607" s="5">
        <v>16686775</v>
      </c>
      <c r="J607" s="3">
        <v>867447.5</v>
      </c>
      <c r="K607" s="3">
        <v>15819327.5</v>
      </c>
      <c r="L607" s="3">
        <v>11357416.074999999</v>
      </c>
      <c r="M607" s="3">
        <v>4461911.4249999998</v>
      </c>
      <c r="N607" s="3">
        <v>3831714.1148526729</v>
      </c>
      <c r="O607" s="3">
        <f t="shared" si="10"/>
        <v>24.221725701378094</v>
      </c>
      <c r="P607" s="3">
        <v>843750</v>
      </c>
      <c r="Q607" s="3">
        <v>854444.89235965628</v>
      </c>
      <c r="R607" s="3">
        <v>742966.21413706592</v>
      </c>
      <c r="S607" s="3">
        <v>248537.87905717752</v>
      </c>
      <c r="T607" s="3">
        <v>504841.29014778213</v>
      </c>
      <c r="U607" s="3">
        <v>425480.07690185535</v>
      </c>
      <c r="V607" s="3">
        <v>211693.76224913594</v>
      </c>
      <c r="W607" s="3">
        <v>0</v>
      </c>
      <c r="X607" s="3">
        <v>630197.31014732714</v>
      </c>
      <c r="Y607" s="3">
        <v>0</v>
      </c>
      <c r="Z607" s="3">
        <v>599461.58059481939</v>
      </c>
      <c r="AA607" s="3">
        <v>-599461.58059481939</v>
      </c>
      <c r="AB607" s="3">
        <v>0</v>
      </c>
      <c r="AC607" s="3">
        <v>151785.92098478024</v>
      </c>
      <c r="AD607" s="3">
        <v>-151785.92098478024</v>
      </c>
      <c r="AE607" s="3">
        <v>-121050.19143227248</v>
      </c>
      <c r="AF607" s="3">
        <v>0</v>
      </c>
      <c r="AG607" s="3">
        <v>-121050.19143227248</v>
      </c>
      <c r="AH607" s="3">
        <v>-121050.19143227248</v>
      </c>
      <c r="AI607" s="3">
        <v>12500000</v>
      </c>
      <c r="AJ607" s="3">
        <v>375000</v>
      </c>
    </row>
    <row r="608" spans="1:36" x14ac:dyDescent="0.2">
      <c r="A608" s="3" t="s">
        <v>36</v>
      </c>
      <c r="B608" s="3" t="s">
        <v>37</v>
      </c>
      <c r="C608" s="3" t="s">
        <v>103</v>
      </c>
      <c r="D608" s="3">
        <v>1</v>
      </c>
      <c r="E608" s="3">
        <v>2023</v>
      </c>
      <c r="F608" s="3">
        <v>1</v>
      </c>
      <c r="G608" s="3" t="s">
        <v>39</v>
      </c>
      <c r="H608" s="3" t="s">
        <v>46</v>
      </c>
      <c r="I608" s="5">
        <v>58340949.962337449</v>
      </c>
      <c r="J608" s="3">
        <v>0</v>
      </c>
      <c r="K608" s="3">
        <v>58340949.962337449</v>
      </c>
      <c r="L608" s="3">
        <v>58216921.887819394</v>
      </c>
      <c r="M608" s="3">
        <v>124028.07451804589</v>
      </c>
      <c r="N608" s="3">
        <v>436414.63683244423</v>
      </c>
      <c r="O608" s="3">
        <f t="shared" si="10"/>
        <v>0.74804170503595813</v>
      </c>
      <c r="P608" s="3">
        <v>45900</v>
      </c>
      <c r="Q608" s="3">
        <v>25474.278999999995</v>
      </c>
      <c r="R608" s="3">
        <v>311194.81408843357</v>
      </c>
      <c r="S608" s="3">
        <v>28736.338060382805</v>
      </c>
      <c r="T608" s="3">
        <v>2644.6932318232161</v>
      </c>
      <c r="U608" s="3">
        <v>12402.807451804592</v>
      </c>
      <c r="V608" s="3">
        <v>10061.705</v>
      </c>
      <c r="W608" s="3">
        <v>0</v>
      </c>
      <c r="X608" s="3">
        <v>-312386.56231439835</v>
      </c>
      <c r="Y608" s="3">
        <v>42950.846033959759</v>
      </c>
      <c r="Z608" s="3">
        <v>47555.351137405058</v>
      </c>
      <c r="AA608" s="3">
        <v>-4604.5051034452918</v>
      </c>
      <c r="AB608" s="3">
        <v>0</v>
      </c>
      <c r="AC608" s="3">
        <v>0</v>
      </c>
      <c r="AD608" s="3">
        <v>0</v>
      </c>
      <c r="AE608" s="3">
        <v>-316991.06741784362</v>
      </c>
      <c r="AF608" s="3">
        <v>0</v>
      </c>
      <c r="AG608" s="3">
        <v>-316991.06741784362</v>
      </c>
      <c r="AH608" s="3">
        <v>-316991.06741784362</v>
      </c>
      <c r="AI608" s="3">
        <v>194340949.96233746</v>
      </c>
      <c r="AJ608" s="3">
        <v>-4578.3100467889062</v>
      </c>
    </row>
    <row r="609" spans="1:36" x14ac:dyDescent="0.2">
      <c r="A609" s="3" t="s">
        <v>36</v>
      </c>
      <c r="B609" s="3" t="s">
        <v>37</v>
      </c>
      <c r="C609" s="3" t="s">
        <v>103</v>
      </c>
      <c r="D609" s="3">
        <v>3</v>
      </c>
      <c r="E609" s="3">
        <v>2023</v>
      </c>
      <c r="F609" s="3">
        <v>1</v>
      </c>
      <c r="G609" s="3" t="s">
        <v>39</v>
      </c>
      <c r="H609" s="3" t="s">
        <v>46</v>
      </c>
      <c r="I609" s="5">
        <v>183453216.74361432</v>
      </c>
      <c r="J609" s="3">
        <v>0</v>
      </c>
      <c r="K609" s="3">
        <v>183453216.74361432</v>
      </c>
      <c r="L609" s="3">
        <v>183230873.40431514</v>
      </c>
      <c r="M609" s="3">
        <v>222343.33929915808</v>
      </c>
      <c r="N609" s="3">
        <v>678664.20197690546</v>
      </c>
      <c r="O609" s="3">
        <f t="shared" si="10"/>
        <v>0.36993856745797754</v>
      </c>
      <c r="P609" s="3">
        <v>51300</v>
      </c>
      <c r="Q609" s="3">
        <v>0</v>
      </c>
      <c r="R609" s="3">
        <v>350817.43809460459</v>
      </c>
      <c r="S609" s="3">
        <v>239616.0837145455</v>
      </c>
      <c r="T609" s="3">
        <v>6545.0042378397102</v>
      </c>
      <c r="U609" s="3">
        <v>22234.333929915811</v>
      </c>
      <c r="V609" s="3">
        <v>8151.3419999999996</v>
      </c>
      <c r="W609" s="3">
        <v>0</v>
      </c>
      <c r="X609" s="3">
        <v>-456320.86267774738</v>
      </c>
      <c r="Y609" s="3">
        <v>124580.33067968588</v>
      </c>
      <c r="Z609" s="3">
        <v>157412.33105478639</v>
      </c>
      <c r="AA609" s="3">
        <v>-32832.000375100492</v>
      </c>
      <c r="AB609" s="3">
        <v>0</v>
      </c>
      <c r="AC609" s="3">
        <v>0</v>
      </c>
      <c r="AD609" s="3">
        <v>0</v>
      </c>
      <c r="AE609" s="3">
        <v>-489152.86305284791</v>
      </c>
      <c r="AF609" s="3">
        <v>0</v>
      </c>
      <c r="AG609" s="3">
        <v>-489152.86305284791</v>
      </c>
      <c r="AH609" s="3">
        <v>-489152.86305284791</v>
      </c>
      <c r="AI609" s="3">
        <v>183453216.74361432</v>
      </c>
      <c r="AJ609" s="3">
        <v>-15350.804274527509</v>
      </c>
    </row>
    <row r="610" spans="1:36" x14ac:dyDescent="0.2">
      <c r="A610" s="3" t="s">
        <v>36</v>
      </c>
      <c r="B610" s="3" t="s">
        <v>37</v>
      </c>
      <c r="C610" s="3" t="s">
        <v>103</v>
      </c>
      <c r="D610" s="3">
        <v>2</v>
      </c>
      <c r="E610" s="3">
        <v>2023</v>
      </c>
      <c r="F610" s="3">
        <v>1</v>
      </c>
      <c r="G610" s="3" t="s">
        <v>39</v>
      </c>
      <c r="H610" s="3" t="s">
        <v>46</v>
      </c>
      <c r="I610" s="5">
        <v>206122560.51075602</v>
      </c>
      <c r="J610" s="3">
        <v>27</v>
      </c>
      <c r="K610" s="3">
        <v>206122533.51075602</v>
      </c>
      <c r="L610" s="3">
        <v>205774783.20693287</v>
      </c>
      <c r="M610" s="3">
        <v>347750.30382314022</v>
      </c>
      <c r="N610" s="3">
        <v>659435.19383824826</v>
      </c>
      <c r="O610" s="3">
        <f t="shared" si="10"/>
        <v>0.31992387373010683</v>
      </c>
      <c r="P610" s="3">
        <v>72900.000000000015</v>
      </c>
      <c r="Q610" s="3">
        <v>0</v>
      </c>
      <c r="R610" s="3">
        <v>510209.20518070052</v>
      </c>
      <c r="S610" s="3">
        <v>34651.06633119622</v>
      </c>
      <c r="T610" s="3">
        <v>5643.4739440374942</v>
      </c>
      <c r="U610" s="3">
        <v>34775.03038231402</v>
      </c>
      <c r="V610" s="3">
        <v>1256.4180000000001</v>
      </c>
      <c r="W610" s="3">
        <v>0</v>
      </c>
      <c r="X610" s="3">
        <v>-311684.89001510805</v>
      </c>
      <c r="Y610" s="3">
        <v>92550.40266195318</v>
      </c>
      <c r="Z610" s="3">
        <v>129654.54768880617</v>
      </c>
      <c r="AA610" s="3">
        <v>-37104.145026853002</v>
      </c>
      <c r="AB610" s="3">
        <v>0</v>
      </c>
      <c r="AC610" s="3">
        <v>0</v>
      </c>
      <c r="AD610" s="3">
        <v>0</v>
      </c>
      <c r="AE610" s="3">
        <v>-348789.03504196112</v>
      </c>
      <c r="AF610" s="3">
        <v>0</v>
      </c>
      <c r="AG610" s="3">
        <v>-348789.03504196112</v>
      </c>
      <c r="AH610" s="3">
        <v>-348789.03504196112</v>
      </c>
      <c r="AI610" s="3">
        <v>206122533.51075602</v>
      </c>
      <c r="AJ610" s="3">
        <v>-21814.300811170673</v>
      </c>
    </row>
    <row r="611" spans="1:36" x14ac:dyDescent="0.2">
      <c r="A611" s="3" t="s">
        <v>36</v>
      </c>
      <c r="B611" s="3" t="s">
        <v>37</v>
      </c>
      <c r="C611" s="3" t="s">
        <v>104</v>
      </c>
      <c r="D611" s="3">
        <v>3</v>
      </c>
      <c r="E611" s="3">
        <v>2023</v>
      </c>
      <c r="F611" s="3">
        <v>1</v>
      </c>
      <c r="G611" s="3" t="s">
        <v>42</v>
      </c>
      <c r="H611" s="3" t="s">
        <v>46</v>
      </c>
      <c r="I611" s="5">
        <v>11712150</v>
      </c>
      <c r="J611" s="3">
        <v>2283695</v>
      </c>
      <c r="K611" s="3">
        <v>9428455</v>
      </c>
      <c r="L611" s="3">
        <v>7027290</v>
      </c>
      <c r="M611" s="3">
        <v>2401165</v>
      </c>
      <c r="N611" s="3">
        <v>3527776.8472007448</v>
      </c>
      <c r="O611" s="3">
        <f t="shared" si="10"/>
        <v>37.416277080399119</v>
      </c>
      <c r="P611" s="3">
        <v>1305999.675</v>
      </c>
      <c r="Q611" s="3">
        <v>45268.725000000006</v>
      </c>
      <c r="R611" s="3">
        <v>672190.78125</v>
      </c>
      <c r="S611" s="3">
        <v>1264201.1659507446</v>
      </c>
      <c r="T611" s="3">
        <v>0</v>
      </c>
      <c r="U611" s="3">
        <v>240116.5</v>
      </c>
      <c r="V611" s="3">
        <v>0</v>
      </c>
      <c r="W611" s="3">
        <v>0</v>
      </c>
      <c r="X611" s="3">
        <v>-1126611.8472007448</v>
      </c>
      <c r="Y611" s="3">
        <v>0</v>
      </c>
      <c r="Z611" s="3">
        <v>278271.2</v>
      </c>
      <c r="AA611" s="3">
        <v>-278271.2</v>
      </c>
      <c r="AB611" s="3">
        <v>0</v>
      </c>
      <c r="AC611" s="3">
        <v>0</v>
      </c>
      <c r="AD611" s="3">
        <v>0</v>
      </c>
      <c r="AE611" s="3">
        <v>-1404883.0472007445</v>
      </c>
      <c r="AF611" s="3">
        <v>0</v>
      </c>
      <c r="AG611" s="3">
        <v>-1404883.0472007445</v>
      </c>
      <c r="AH611" s="3">
        <v>-1404883.0472007445</v>
      </c>
      <c r="AI611" s="3">
        <v>8750000</v>
      </c>
      <c r="AJ611" s="3">
        <v>601250</v>
      </c>
    </row>
    <row r="612" spans="1:36" x14ac:dyDescent="0.2">
      <c r="A612" s="3" t="s">
        <v>36</v>
      </c>
      <c r="B612" s="3" t="s">
        <v>37</v>
      </c>
      <c r="C612" s="3" t="s">
        <v>104</v>
      </c>
      <c r="D612" s="3">
        <v>2</v>
      </c>
      <c r="E612" s="3">
        <v>2023</v>
      </c>
      <c r="F612" s="3">
        <v>1</v>
      </c>
      <c r="G612" s="3" t="s">
        <v>42</v>
      </c>
      <c r="H612" s="3" t="s">
        <v>46</v>
      </c>
      <c r="I612" s="5">
        <v>19440914</v>
      </c>
      <c r="J612" s="3">
        <v>1191505</v>
      </c>
      <c r="K612" s="3">
        <v>18249409</v>
      </c>
      <c r="L612" s="3">
        <v>11713548.4</v>
      </c>
      <c r="M612" s="3">
        <v>6535860.6000000006</v>
      </c>
      <c r="N612" s="3">
        <v>4719192.5759507446</v>
      </c>
      <c r="O612" s="3">
        <f t="shared" si="10"/>
        <v>25.859426877608723</v>
      </c>
      <c r="P612" s="3">
        <v>1305999.675</v>
      </c>
      <c r="Q612" s="3">
        <v>45268.725000000006</v>
      </c>
      <c r="R612" s="3">
        <v>686015</v>
      </c>
      <c r="S612" s="3">
        <v>1983323.1159507448</v>
      </c>
      <c r="T612" s="3">
        <v>0</v>
      </c>
      <c r="U612" s="3">
        <v>653586.06000000006</v>
      </c>
      <c r="V612" s="3">
        <v>45000</v>
      </c>
      <c r="W612" s="3">
        <v>0</v>
      </c>
      <c r="X612" s="3">
        <v>1816668.0240492551</v>
      </c>
      <c r="Y612" s="3">
        <v>0</v>
      </c>
      <c r="Z612" s="3">
        <v>318619.19999999995</v>
      </c>
      <c r="AA612" s="3">
        <v>-318619.19999999995</v>
      </c>
      <c r="AB612" s="3">
        <v>0</v>
      </c>
      <c r="AC612" s="3">
        <v>0</v>
      </c>
      <c r="AD612" s="3">
        <v>0</v>
      </c>
      <c r="AE612" s="3">
        <v>1498048.8240492553</v>
      </c>
      <c r="AF612" s="3">
        <v>0</v>
      </c>
      <c r="AG612" s="3">
        <v>1498048.8240492553</v>
      </c>
      <c r="AH612" s="3">
        <v>1498048.8240492553</v>
      </c>
      <c r="AI612" s="3">
        <v>22000000</v>
      </c>
      <c r="AJ612" s="3">
        <v>1590000</v>
      </c>
    </row>
    <row r="613" spans="1:36" x14ac:dyDescent="0.2">
      <c r="A613" s="3" t="s">
        <v>36</v>
      </c>
      <c r="B613" s="3" t="s">
        <v>37</v>
      </c>
      <c r="C613" s="3" t="s">
        <v>104</v>
      </c>
      <c r="D613" s="3">
        <v>1</v>
      </c>
      <c r="E613" s="3">
        <v>2023</v>
      </c>
      <c r="F613" s="3">
        <v>1</v>
      </c>
      <c r="G613" s="3" t="s">
        <v>42</v>
      </c>
      <c r="H613" s="3" t="s">
        <v>46</v>
      </c>
      <c r="I613" s="5">
        <v>19976512</v>
      </c>
      <c r="J613" s="3">
        <v>1558801.6</v>
      </c>
      <c r="K613" s="3">
        <v>18417710.399999999</v>
      </c>
      <c r="L613" s="3">
        <v>12170547.199999999</v>
      </c>
      <c r="M613" s="3">
        <v>6247163.1999999993</v>
      </c>
      <c r="N613" s="3">
        <v>2788966.8059007847</v>
      </c>
      <c r="O613" s="3">
        <f t="shared" si="10"/>
        <v>15.142852967765119</v>
      </c>
      <c r="P613" s="3">
        <v>835839.79200000002</v>
      </c>
      <c r="Q613" s="3">
        <v>28972.016</v>
      </c>
      <c r="R613" s="3">
        <v>570410.90769230772</v>
      </c>
      <c r="S613" s="3">
        <v>621358.47420847649</v>
      </c>
      <c r="T613" s="3">
        <v>0</v>
      </c>
      <c r="U613" s="3">
        <v>624716.31999999995</v>
      </c>
      <c r="V613" s="3">
        <v>107669.29600000002</v>
      </c>
      <c r="W613" s="3">
        <v>0</v>
      </c>
      <c r="X613" s="3">
        <v>3458196.394099216</v>
      </c>
      <c r="Y613" s="3">
        <v>0</v>
      </c>
      <c r="Z613" s="3">
        <v>203916.28800000003</v>
      </c>
      <c r="AA613" s="3">
        <v>-203916.28800000003</v>
      </c>
      <c r="AB613" s="3">
        <v>0</v>
      </c>
      <c r="AC613" s="3">
        <v>0</v>
      </c>
      <c r="AD613" s="3">
        <v>0</v>
      </c>
      <c r="AE613" s="3">
        <v>3254280.1060992158</v>
      </c>
      <c r="AF613" s="3">
        <v>0</v>
      </c>
      <c r="AG613" s="3">
        <v>3254280.1060992158</v>
      </c>
      <c r="AH613" s="3">
        <v>3254280.1060992158</v>
      </c>
      <c r="AI613" s="3">
        <v>17600000</v>
      </c>
      <c r="AJ613" s="3">
        <v>1511600</v>
      </c>
    </row>
    <row r="614" spans="1:36" x14ac:dyDescent="0.2">
      <c r="A614" s="3" t="s">
        <v>36</v>
      </c>
      <c r="B614" s="3" t="s">
        <v>37</v>
      </c>
      <c r="C614" s="3" t="s">
        <v>104</v>
      </c>
      <c r="D614" s="3">
        <v>1</v>
      </c>
      <c r="E614" s="3">
        <v>2023</v>
      </c>
      <c r="F614" s="3">
        <v>1</v>
      </c>
      <c r="G614" s="3" t="s">
        <v>39</v>
      </c>
      <c r="H614" s="3" t="s">
        <v>46</v>
      </c>
      <c r="I614" s="5">
        <v>554060638.01775694</v>
      </c>
      <c r="J614" s="3">
        <v>300</v>
      </c>
      <c r="K614" s="3">
        <v>554060338.01775694</v>
      </c>
      <c r="L614" s="3">
        <v>552882450.5451678</v>
      </c>
      <c r="M614" s="3">
        <v>1177887.4725891112</v>
      </c>
      <c r="N614" s="3">
        <v>534449.64756949677</v>
      </c>
      <c r="O614" s="3">
        <f t="shared" si="10"/>
        <v>9.6460549672546372E-2</v>
      </c>
      <c r="P614" s="3">
        <v>58349.525000000001</v>
      </c>
      <c r="Q614" s="3">
        <v>0</v>
      </c>
      <c r="R614" s="3">
        <v>288662.98123603</v>
      </c>
      <c r="S614" s="3">
        <v>41531.894937480087</v>
      </c>
      <c r="T614" s="3">
        <v>25116.499137075531</v>
      </c>
      <c r="U614" s="3">
        <v>117788.74725891114</v>
      </c>
      <c r="V614" s="3">
        <v>3000</v>
      </c>
      <c r="W614" s="3">
        <v>0</v>
      </c>
      <c r="X614" s="3">
        <v>643437.82501961454</v>
      </c>
      <c r="Y614" s="3">
        <v>407901.7083599224</v>
      </c>
      <c r="Z614" s="3">
        <v>451630.42784457002</v>
      </c>
      <c r="AA614" s="3">
        <v>-43728.71948464759</v>
      </c>
      <c r="AB614" s="3">
        <v>550</v>
      </c>
      <c r="AC614" s="3">
        <v>0</v>
      </c>
      <c r="AD614" s="3">
        <v>550</v>
      </c>
      <c r="AE614" s="3">
        <v>600259.10553496692</v>
      </c>
      <c r="AF614" s="3">
        <v>0</v>
      </c>
      <c r="AG614" s="3">
        <v>600259.10553496692</v>
      </c>
      <c r="AH614" s="3">
        <v>600259.10553496692</v>
      </c>
      <c r="AI614" s="3">
        <v>1559060338.0177569</v>
      </c>
      <c r="AJ614" s="3">
        <v>111834.47398688055</v>
      </c>
    </row>
    <row r="615" spans="1:36" x14ac:dyDescent="0.2">
      <c r="A615" s="3" t="s">
        <v>36</v>
      </c>
      <c r="B615" s="3" t="s">
        <v>37</v>
      </c>
      <c r="C615" s="3" t="s">
        <v>104</v>
      </c>
      <c r="D615" s="3">
        <v>3</v>
      </c>
      <c r="E615" s="3">
        <v>2023</v>
      </c>
      <c r="F615" s="3">
        <v>1</v>
      </c>
      <c r="G615" s="3" t="s">
        <v>39</v>
      </c>
      <c r="H615" s="3" t="s">
        <v>46</v>
      </c>
      <c r="I615" s="5">
        <v>1494698737.8032815</v>
      </c>
      <c r="J615" s="3">
        <v>0</v>
      </c>
      <c r="K615" s="3">
        <v>1494698737.8032815</v>
      </c>
      <c r="L615" s="3">
        <v>1492887178.8973734</v>
      </c>
      <c r="M615" s="3">
        <v>1811558.9059083709</v>
      </c>
      <c r="N615" s="3">
        <v>1218633.9293694126</v>
      </c>
      <c r="O615" s="3">
        <f t="shared" si="10"/>
        <v>8.1530404659363398E-2</v>
      </c>
      <c r="P615" s="3">
        <v>122534.0025</v>
      </c>
      <c r="Q615" s="3">
        <v>0</v>
      </c>
      <c r="R615" s="3">
        <v>485114.13573876722</v>
      </c>
      <c r="S615" s="3">
        <v>108531.9793687082</v>
      </c>
      <c r="T615" s="3">
        <v>53325.909171100247</v>
      </c>
      <c r="U615" s="3">
        <v>181155.89059083711</v>
      </c>
      <c r="V615" s="3">
        <v>267972.01200000005</v>
      </c>
      <c r="W615" s="3">
        <v>0</v>
      </c>
      <c r="X615" s="3">
        <v>592924.97653895849</v>
      </c>
      <c r="Y615" s="3">
        <v>1015027.5167007863</v>
      </c>
      <c r="Z615" s="3">
        <v>1282528.6834358624</v>
      </c>
      <c r="AA615" s="3">
        <v>-267501.166735076</v>
      </c>
      <c r="AB615" s="3">
        <v>0</v>
      </c>
      <c r="AC615" s="3">
        <v>0</v>
      </c>
      <c r="AD615" s="3">
        <v>0</v>
      </c>
      <c r="AE615" s="3">
        <v>325423.80980388244</v>
      </c>
      <c r="AF615" s="3">
        <v>0</v>
      </c>
      <c r="AG615" s="3">
        <v>325423.80980388244</v>
      </c>
      <c r="AH615" s="3">
        <v>325423.80980388244</v>
      </c>
      <c r="AI615" s="3">
        <v>1494698737.8032815</v>
      </c>
      <c r="AJ615" s="3">
        <v>521894.2119387759</v>
      </c>
    </row>
    <row r="616" spans="1:36" x14ac:dyDescent="0.2">
      <c r="A616" s="3" t="s">
        <v>36</v>
      </c>
      <c r="B616" s="3" t="s">
        <v>37</v>
      </c>
      <c r="C616" s="3" t="s">
        <v>104</v>
      </c>
      <c r="D616" s="3">
        <v>2</v>
      </c>
      <c r="E616" s="3">
        <v>2023</v>
      </c>
      <c r="F616" s="3">
        <v>1</v>
      </c>
      <c r="G616" s="3" t="s">
        <v>39</v>
      </c>
      <c r="H616" s="3" t="s">
        <v>46</v>
      </c>
      <c r="I616" s="5">
        <v>2916639479.2513156</v>
      </c>
      <c r="J616" s="3">
        <v>0</v>
      </c>
      <c r="K616" s="3">
        <v>2916639479.2513156</v>
      </c>
      <c r="L616" s="3">
        <v>2911718803.5982523</v>
      </c>
      <c r="M616" s="3">
        <v>4920675.6530625308</v>
      </c>
      <c r="N616" s="3">
        <v>1314514.0341608562</v>
      </c>
      <c r="O616" s="3">
        <f t="shared" si="10"/>
        <v>4.5069472710363379E-2</v>
      </c>
      <c r="P616" s="3">
        <v>128368.95500000002</v>
      </c>
      <c r="Q616" s="3">
        <v>0</v>
      </c>
      <c r="R616" s="3">
        <v>541407.94660392171</v>
      </c>
      <c r="S616" s="3">
        <v>66180.168862456194</v>
      </c>
      <c r="T616" s="3">
        <v>79855.29999491229</v>
      </c>
      <c r="U616" s="3">
        <v>492067.56530625315</v>
      </c>
      <c r="V616" s="3">
        <v>6634.0983933128027</v>
      </c>
      <c r="W616" s="3">
        <v>0</v>
      </c>
      <c r="X616" s="3">
        <v>3606161.6189016746</v>
      </c>
      <c r="Y616" s="3">
        <v>1309590.5540644235</v>
      </c>
      <c r="Z616" s="3">
        <v>1834615.1508917985</v>
      </c>
      <c r="AA616" s="3">
        <v>-525024.596827375</v>
      </c>
      <c r="AB616" s="3">
        <v>220</v>
      </c>
      <c r="AC616" s="3">
        <v>0</v>
      </c>
      <c r="AD616" s="3">
        <v>220</v>
      </c>
      <c r="AE616" s="3">
        <v>3081357.0220743003</v>
      </c>
      <c r="AF616" s="3">
        <v>0</v>
      </c>
      <c r="AG616" s="3">
        <v>3081357.0220743003</v>
      </c>
      <c r="AH616" s="3">
        <v>3081357.0220743003</v>
      </c>
      <c r="AI616" s="3">
        <v>2916639479.2513156</v>
      </c>
      <c r="AJ616" s="3">
        <v>546746.31726919394</v>
      </c>
    </row>
    <row r="617" spans="1:36" x14ac:dyDescent="0.2">
      <c r="A617" s="3" t="s">
        <v>36</v>
      </c>
      <c r="B617" s="3" t="s">
        <v>37</v>
      </c>
      <c r="C617" s="3" t="s">
        <v>105</v>
      </c>
      <c r="D617" s="3">
        <v>3</v>
      </c>
      <c r="E617" s="3">
        <v>2023</v>
      </c>
      <c r="F617" s="3">
        <v>1</v>
      </c>
      <c r="G617" s="3" t="s">
        <v>42</v>
      </c>
      <c r="H617" s="3" t="s">
        <v>46</v>
      </c>
      <c r="I617" s="5">
        <v>0</v>
      </c>
      <c r="J617" s="3">
        <v>0</v>
      </c>
      <c r="K617" s="3">
        <v>0</v>
      </c>
      <c r="L617" s="3">
        <v>0</v>
      </c>
      <c r="M617" s="3">
        <v>0</v>
      </c>
      <c r="N617" s="3">
        <v>29721.06</v>
      </c>
      <c r="O617" s="3" t="e">
        <f t="shared" si="10"/>
        <v>#DIV/0!</v>
      </c>
      <c r="P617" s="3">
        <v>19999.994999999999</v>
      </c>
      <c r="Q617" s="3">
        <v>601.06499999999994</v>
      </c>
      <c r="R617" s="3">
        <v>2857.5</v>
      </c>
      <c r="S617" s="3">
        <v>6262.5</v>
      </c>
      <c r="T617" s="3">
        <v>0</v>
      </c>
      <c r="U617" s="3">
        <v>0</v>
      </c>
      <c r="V617" s="3">
        <v>0</v>
      </c>
      <c r="W617" s="3">
        <v>0</v>
      </c>
      <c r="X617" s="3">
        <v>-29721.06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-29721.06</v>
      </c>
      <c r="AF617" s="3">
        <v>0</v>
      </c>
      <c r="AG617" s="3">
        <v>-29721.06</v>
      </c>
      <c r="AH617" s="3">
        <v>-29721.06</v>
      </c>
      <c r="AI617" s="3">
        <v>0</v>
      </c>
      <c r="AJ617" s="3">
        <v>0</v>
      </c>
    </row>
    <row r="618" spans="1:36" x14ac:dyDescent="0.2">
      <c r="A618" s="3" t="s">
        <v>36</v>
      </c>
      <c r="B618" s="3" t="s">
        <v>37</v>
      </c>
      <c r="C618" s="3" t="s">
        <v>105</v>
      </c>
      <c r="D618" s="3">
        <v>1</v>
      </c>
      <c r="E618" s="3">
        <v>2023</v>
      </c>
      <c r="F618" s="3">
        <v>1</v>
      </c>
      <c r="G618" s="3" t="s">
        <v>42</v>
      </c>
      <c r="H618" s="3" t="s">
        <v>46</v>
      </c>
      <c r="I618" s="5">
        <v>59040</v>
      </c>
      <c r="J618" s="3">
        <v>0</v>
      </c>
      <c r="K618" s="3">
        <v>59040</v>
      </c>
      <c r="L618" s="3">
        <v>35424</v>
      </c>
      <c r="M618" s="3">
        <v>23616</v>
      </c>
      <c r="N618" s="3">
        <v>30806.048000000003</v>
      </c>
      <c r="O618" s="3">
        <f t="shared" si="10"/>
        <v>52.17826558265584</v>
      </c>
      <c r="P618" s="3">
        <v>28444.448000000004</v>
      </c>
      <c r="Q618" s="3">
        <v>0</v>
      </c>
      <c r="R618" s="3">
        <v>0</v>
      </c>
      <c r="S618" s="3">
        <v>0</v>
      </c>
      <c r="T618" s="3">
        <v>0</v>
      </c>
      <c r="U618" s="3">
        <v>2361.6</v>
      </c>
      <c r="V618" s="3">
        <v>0</v>
      </c>
      <c r="W618" s="3">
        <v>0</v>
      </c>
      <c r="X618" s="3">
        <v>-7190.0480000000007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-7190.0480000000007</v>
      </c>
      <c r="AF618" s="3">
        <v>0</v>
      </c>
      <c r="AG618" s="3">
        <v>-7190.0480000000007</v>
      </c>
      <c r="AH618" s="3">
        <v>-7190.0480000000007</v>
      </c>
      <c r="AI618" s="3">
        <v>48000</v>
      </c>
      <c r="AJ618" s="3">
        <v>480</v>
      </c>
    </row>
    <row r="619" spans="1:36" x14ac:dyDescent="0.2">
      <c r="A619" s="3" t="s">
        <v>36</v>
      </c>
      <c r="B619" s="3" t="s">
        <v>37</v>
      </c>
      <c r="C619" s="3" t="s">
        <v>105</v>
      </c>
      <c r="D619" s="3">
        <v>2</v>
      </c>
      <c r="E619" s="3">
        <v>2023</v>
      </c>
      <c r="F619" s="3">
        <v>1</v>
      </c>
      <c r="G619" s="3" t="s">
        <v>42</v>
      </c>
      <c r="H619" s="3" t="s">
        <v>46</v>
      </c>
      <c r="I619" s="5">
        <v>102000</v>
      </c>
      <c r="J619" s="3">
        <v>1800</v>
      </c>
      <c r="K619" s="3">
        <v>100200</v>
      </c>
      <c r="L619" s="3">
        <v>61200</v>
      </c>
      <c r="M619" s="3">
        <v>39000</v>
      </c>
      <c r="N619" s="3">
        <v>22812.648000000001</v>
      </c>
      <c r="O619" s="3">
        <f t="shared" si="10"/>
        <v>22.76711377245509</v>
      </c>
      <c r="P619" s="3">
        <v>15999.995999999999</v>
      </c>
      <c r="Q619" s="3">
        <v>480.85199999999998</v>
      </c>
      <c r="R619" s="3">
        <v>0</v>
      </c>
      <c r="S619" s="3">
        <v>2214</v>
      </c>
      <c r="T619" s="3">
        <v>217.8</v>
      </c>
      <c r="U619" s="3">
        <v>3900</v>
      </c>
      <c r="V619" s="3">
        <v>0</v>
      </c>
      <c r="W619" s="3">
        <v>0</v>
      </c>
      <c r="X619" s="3">
        <v>16187.351999999999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16187.351999999999</v>
      </c>
      <c r="AF619" s="3">
        <v>0</v>
      </c>
      <c r="AG619" s="3">
        <v>16187.351999999999</v>
      </c>
      <c r="AH619" s="3">
        <v>16187.351999999999</v>
      </c>
      <c r="AI619" s="3">
        <v>0</v>
      </c>
      <c r="AJ619" s="3">
        <v>0</v>
      </c>
    </row>
    <row r="620" spans="1:36" x14ac:dyDescent="0.2">
      <c r="A620" s="3" t="s">
        <v>36</v>
      </c>
      <c r="B620" s="3" t="s">
        <v>37</v>
      </c>
      <c r="C620" s="3" t="s">
        <v>105</v>
      </c>
      <c r="D620" s="3">
        <v>1</v>
      </c>
      <c r="E620" s="3">
        <v>2023</v>
      </c>
      <c r="F620" s="3">
        <v>1</v>
      </c>
      <c r="G620" s="3" t="s">
        <v>48</v>
      </c>
      <c r="H620" s="3" t="s">
        <v>46</v>
      </c>
      <c r="I620" s="5">
        <v>474880</v>
      </c>
      <c r="J620" s="3">
        <v>50148</v>
      </c>
      <c r="K620" s="3">
        <v>424732</v>
      </c>
      <c r="L620" s="3">
        <v>299668.20799999998</v>
      </c>
      <c r="M620" s="3">
        <v>125063.79199999999</v>
      </c>
      <c r="N620" s="3">
        <v>538534.44955890952</v>
      </c>
      <c r="O620" s="3">
        <f t="shared" si="10"/>
        <v>126.79394290020755</v>
      </c>
      <c r="P620" s="3">
        <v>503496</v>
      </c>
      <c r="Q620" s="3">
        <v>978.59246703088945</v>
      </c>
      <c r="R620" s="3">
        <v>5747.9558284668283</v>
      </c>
      <c r="S620" s="3">
        <v>3753.2421425041325</v>
      </c>
      <c r="T620" s="3">
        <v>3092.4945280651409</v>
      </c>
      <c r="U620" s="3">
        <v>15100.089401057696</v>
      </c>
      <c r="V620" s="3">
        <v>6366.075191784922</v>
      </c>
      <c r="W620" s="3">
        <v>0</v>
      </c>
      <c r="X620" s="3">
        <v>-413470.6575589095</v>
      </c>
      <c r="Y620" s="3">
        <v>0</v>
      </c>
      <c r="Z620" s="3">
        <v>244201.4150194675</v>
      </c>
      <c r="AA620" s="3">
        <v>-244201.4150194675</v>
      </c>
      <c r="AB620" s="3">
        <v>0</v>
      </c>
      <c r="AC620" s="3">
        <v>3379.8884760714336</v>
      </c>
      <c r="AD620" s="3">
        <v>-3379.8884760714336</v>
      </c>
      <c r="AE620" s="3">
        <v>-661051.9610544485</v>
      </c>
      <c r="AF620" s="3">
        <v>0</v>
      </c>
      <c r="AG620" s="3">
        <v>-661051.9610544485</v>
      </c>
      <c r="AH620" s="3">
        <v>-661051.9610544485</v>
      </c>
      <c r="AI620" s="3">
        <v>4200000</v>
      </c>
      <c r="AJ620" s="3">
        <v>0</v>
      </c>
    </row>
    <row r="621" spans="1:36" x14ac:dyDescent="0.2">
      <c r="A621" s="3" t="s">
        <v>36</v>
      </c>
      <c r="B621" s="3" t="s">
        <v>37</v>
      </c>
      <c r="C621" s="3" t="s">
        <v>105</v>
      </c>
      <c r="D621" s="3">
        <v>3</v>
      </c>
      <c r="E621" s="3">
        <v>2023</v>
      </c>
      <c r="F621" s="3">
        <v>1</v>
      </c>
      <c r="G621" s="3" t="s">
        <v>48</v>
      </c>
      <c r="H621" s="3" t="s">
        <v>46</v>
      </c>
      <c r="I621" s="5">
        <v>979200</v>
      </c>
      <c r="J621" s="3">
        <v>51990</v>
      </c>
      <c r="K621" s="3">
        <v>927210</v>
      </c>
      <c r="L621" s="3">
        <v>650683.24</v>
      </c>
      <c r="M621" s="3">
        <v>276526.76</v>
      </c>
      <c r="N621" s="3">
        <v>978586.87844954594</v>
      </c>
      <c r="O621" s="3">
        <f t="shared" si="10"/>
        <v>105.54101858797316</v>
      </c>
      <c r="P621" s="3">
        <v>719280</v>
      </c>
      <c r="Q621" s="3">
        <v>767.52061609768748</v>
      </c>
      <c r="R621" s="3">
        <v>169865.39794724219</v>
      </c>
      <c r="S621" s="3">
        <v>27998.835838008737</v>
      </c>
      <c r="T621" s="3">
        <v>29624.693286312558</v>
      </c>
      <c r="U621" s="3">
        <v>24967.681969841185</v>
      </c>
      <c r="V621" s="3">
        <v>6082.7487920436342</v>
      </c>
      <c r="W621" s="3">
        <v>0</v>
      </c>
      <c r="X621" s="3">
        <v>-702060.11844954593</v>
      </c>
      <c r="Y621" s="3">
        <v>0</v>
      </c>
      <c r="Z621" s="3">
        <v>243893.83773635322</v>
      </c>
      <c r="AA621" s="3">
        <v>-243893.83773635322</v>
      </c>
      <c r="AB621" s="3">
        <v>0</v>
      </c>
      <c r="AC621" s="3">
        <v>8906.9801581370157</v>
      </c>
      <c r="AD621" s="3">
        <v>-8906.9801581370157</v>
      </c>
      <c r="AE621" s="3">
        <v>-954860.93634403637</v>
      </c>
      <c r="AF621" s="3">
        <v>0</v>
      </c>
      <c r="AG621" s="3">
        <v>-954860.93634403637</v>
      </c>
      <c r="AH621" s="3">
        <v>-954860.93634403637</v>
      </c>
      <c r="AI621" s="3">
        <v>4000000</v>
      </c>
      <c r="AJ621" s="3">
        <v>0</v>
      </c>
    </row>
    <row r="622" spans="1:36" x14ac:dyDescent="0.2">
      <c r="A622" s="3" t="s">
        <v>36</v>
      </c>
      <c r="B622" s="3" t="s">
        <v>37</v>
      </c>
      <c r="C622" s="3" t="s">
        <v>105</v>
      </c>
      <c r="D622" s="3">
        <v>2</v>
      </c>
      <c r="E622" s="3">
        <v>2023</v>
      </c>
      <c r="F622" s="3">
        <v>1</v>
      </c>
      <c r="G622" s="3" t="s">
        <v>48</v>
      </c>
      <c r="H622" s="3" t="s">
        <v>46</v>
      </c>
      <c r="I622" s="5">
        <v>5478738</v>
      </c>
      <c r="J622" s="3">
        <v>174593</v>
      </c>
      <c r="K622" s="3">
        <v>5304144.9999999991</v>
      </c>
      <c r="L622" s="3">
        <v>3686658.27</v>
      </c>
      <c r="M622" s="3">
        <v>1617486.73</v>
      </c>
      <c r="N622" s="3">
        <v>1754290.873928084</v>
      </c>
      <c r="O622" s="3">
        <f t="shared" si="10"/>
        <v>33.07396147594163</v>
      </c>
      <c r="P622" s="3">
        <v>827172</v>
      </c>
      <c r="Q622" s="3">
        <v>1607.6876244078899</v>
      </c>
      <c r="R622" s="3">
        <v>707628.00437736348</v>
      </c>
      <c r="S622" s="3">
        <v>29973.838580543397</v>
      </c>
      <c r="T622" s="3">
        <v>56430.384307358341</v>
      </c>
      <c r="U622" s="3">
        <v>120591.11165076643</v>
      </c>
      <c r="V622" s="3">
        <v>10887.847387644575</v>
      </c>
      <c r="W622" s="3">
        <v>0</v>
      </c>
      <c r="X622" s="3">
        <v>-136804.1439280842</v>
      </c>
      <c r="Y622" s="3">
        <v>0</v>
      </c>
      <c r="Z622" s="3">
        <v>462774.7919910276</v>
      </c>
      <c r="AA622" s="3">
        <v>-462774.7919910276</v>
      </c>
      <c r="AB622" s="3">
        <v>0</v>
      </c>
      <c r="AC622" s="3">
        <v>31725.100831058153</v>
      </c>
      <c r="AD622" s="3">
        <v>-31725.100831058153</v>
      </c>
      <c r="AE622" s="3">
        <v>-631304.03675016994</v>
      </c>
      <c r="AF622" s="3">
        <v>0</v>
      </c>
      <c r="AG622" s="3">
        <v>-631304.03675016994</v>
      </c>
      <c r="AH622" s="3">
        <v>-631304.03675016994</v>
      </c>
      <c r="AI622" s="3">
        <v>8049999.9999999991</v>
      </c>
      <c r="AJ622" s="3">
        <v>0</v>
      </c>
    </row>
    <row r="623" spans="1:36" x14ac:dyDescent="0.2">
      <c r="A623" s="3" t="s">
        <v>36</v>
      </c>
      <c r="B623" s="3" t="s">
        <v>37</v>
      </c>
      <c r="C623" s="3" t="s">
        <v>105</v>
      </c>
      <c r="D623" s="3">
        <v>3</v>
      </c>
      <c r="E623" s="3">
        <v>2023</v>
      </c>
      <c r="F623" s="3">
        <v>1</v>
      </c>
      <c r="G623" s="3" t="s">
        <v>39</v>
      </c>
      <c r="H623" s="3" t="s">
        <v>46</v>
      </c>
      <c r="I623" s="5">
        <v>6782709.0947064674</v>
      </c>
      <c r="J623" s="3">
        <v>0</v>
      </c>
      <c r="K623" s="3">
        <v>6782709.0947064674</v>
      </c>
      <c r="L623" s="3">
        <v>6774488.5237272214</v>
      </c>
      <c r="M623" s="3">
        <v>8220.5709792454545</v>
      </c>
      <c r="N623" s="3">
        <v>383797.31155065476</v>
      </c>
      <c r="O623" s="3">
        <f t="shared" si="10"/>
        <v>5.6584663471736905</v>
      </c>
      <c r="P623" s="3">
        <v>48000.006000000001</v>
      </c>
      <c r="Q623" s="3">
        <v>2885.1390000000001</v>
      </c>
      <c r="R623" s="3">
        <v>306242.05848612188</v>
      </c>
      <c r="S623" s="3">
        <v>25606.066331196227</v>
      </c>
      <c r="T623" s="3">
        <v>241.98463541213982</v>
      </c>
      <c r="U623" s="3">
        <v>822.05709792454559</v>
      </c>
      <c r="V623" s="3">
        <v>0</v>
      </c>
      <c r="W623" s="3">
        <v>0</v>
      </c>
      <c r="X623" s="3">
        <v>-375576.74057140935</v>
      </c>
      <c r="Y623" s="3">
        <v>4606.0361160282428</v>
      </c>
      <c r="Z623" s="3">
        <v>5819.9145723151196</v>
      </c>
      <c r="AA623" s="3">
        <v>-1213.8784562868775</v>
      </c>
      <c r="AB623" s="3">
        <v>0</v>
      </c>
      <c r="AC623" s="3">
        <v>0</v>
      </c>
      <c r="AD623" s="3">
        <v>0</v>
      </c>
      <c r="AE623" s="3">
        <v>-376790.61902769614</v>
      </c>
      <c r="AF623" s="3">
        <v>0</v>
      </c>
      <c r="AG623" s="3">
        <v>-376790.61902769614</v>
      </c>
      <c r="AH623" s="3">
        <v>-376790.61902769614</v>
      </c>
      <c r="AI623" s="3">
        <v>6782709.0947064674</v>
      </c>
      <c r="AJ623" s="3">
        <v>-14542.867207447116</v>
      </c>
    </row>
    <row r="624" spans="1:36" x14ac:dyDescent="0.2">
      <c r="A624" s="3" t="s">
        <v>36</v>
      </c>
      <c r="B624" s="3" t="s">
        <v>37</v>
      </c>
      <c r="C624" s="3" t="s">
        <v>105</v>
      </c>
      <c r="D624" s="3">
        <v>1</v>
      </c>
      <c r="E624" s="3">
        <v>2023</v>
      </c>
      <c r="F624" s="3">
        <v>1</v>
      </c>
      <c r="G624" s="3" t="s">
        <v>39</v>
      </c>
      <c r="H624" s="3" t="s">
        <v>46</v>
      </c>
      <c r="I624" s="5">
        <v>23711033.185641065</v>
      </c>
      <c r="J624" s="3">
        <v>0</v>
      </c>
      <c r="K624" s="3">
        <v>23711033.185641065</v>
      </c>
      <c r="L624" s="3">
        <v>23660625.473858062</v>
      </c>
      <c r="M624" s="3">
        <v>50407.711783010964</v>
      </c>
      <c r="N624" s="3">
        <v>419311.58334245288</v>
      </c>
      <c r="O624" s="3">
        <f t="shared" si="10"/>
        <v>1.7684239234095449</v>
      </c>
      <c r="P624" s="3">
        <v>53333.34</v>
      </c>
      <c r="Q624" s="3">
        <v>0</v>
      </c>
      <c r="R624" s="3">
        <v>331411.42640025145</v>
      </c>
      <c r="S624" s="3">
        <v>28451.184812440246</v>
      </c>
      <c r="T624" s="3">
        <v>1074.8609514600403</v>
      </c>
      <c r="U624" s="3">
        <v>5040.7711783010964</v>
      </c>
      <c r="V624" s="3">
        <v>0</v>
      </c>
      <c r="W624" s="3">
        <v>0</v>
      </c>
      <c r="X624" s="3">
        <v>-368903.8715594419</v>
      </c>
      <c r="Y624" s="3">
        <v>17456.159632642655</v>
      </c>
      <c r="Z624" s="3">
        <v>19327.530828718925</v>
      </c>
      <c r="AA624" s="3">
        <v>-1871.371196076268</v>
      </c>
      <c r="AB624" s="3">
        <v>0</v>
      </c>
      <c r="AC624" s="3">
        <v>0</v>
      </c>
      <c r="AD624" s="3">
        <v>0</v>
      </c>
      <c r="AE624" s="3">
        <v>-370775.24275551818</v>
      </c>
      <c r="AF624" s="3">
        <v>0</v>
      </c>
      <c r="AG624" s="3">
        <v>-370775.24275551818</v>
      </c>
      <c r="AH624" s="3">
        <v>-370775.24275551818</v>
      </c>
      <c r="AI624" s="3">
        <v>173711033.18564105</v>
      </c>
      <c r="AJ624" s="3">
        <v>-2019.8426677009884</v>
      </c>
    </row>
    <row r="625" spans="1:36" x14ac:dyDescent="0.2">
      <c r="A625" s="3" t="s">
        <v>36</v>
      </c>
      <c r="B625" s="3" t="s">
        <v>37</v>
      </c>
      <c r="C625" s="3" t="s">
        <v>105</v>
      </c>
      <c r="D625" s="3">
        <v>2</v>
      </c>
      <c r="E625" s="3">
        <v>2023</v>
      </c>
      <c r="F625" s="3">
        <v>1</v>
      </c>
      <c r="G625" s="3" t="s">
        <v>39</v>
      </c>
      <c r="H625" s="3" t="s">
        <v>46</v>
      </c>
      <c r="I625" s="5">
        <v>80264973.717574671</v>
      </c>
      <c r="J625" s="3">
        <v>0</v>
      </c>
      <c r="K625" s="3">
        <v>80264973.717574671</v>
      </c>
      <c r="L625" s="3">
        <v>80129558.317496791</v>
      </c>
      <c r="M625" s="3">
        <v>135415.40007788848</v>
      </c>
      <c r="N625" s="3">
        <v>224771.10421532168</v>
      </c>
      <c r="O625" s="3">
        <f t="shared" si="10"/>
        <v>0.28003635185406683</v>
      </c>
      <c r="P625" s="3">
        <v>24888.891999999996</v>
      </c>
      <c r="Q625" s="3">
        <v>1495.9979999999998</v>
      </c>
      <c r="R625" s="3">
        <v>168692.26263908658</v>
      </c>
      <c r="S625" s="3">
        <v>13277.219579138782</v>
      </c>
      <c r="T625" s="3">
        <v>2197.5919893074961</v>
      </c>
      <c r="U625" s="3">
        <v>13541.540007788848</v>
      </c>
      <c r="V625" s="3">
        <v>677.6</v>
      </c>
      <c r="W625" s="3">
        <v>0</v>
      </c>
      <c r="X625" s="3">
        <v>-89355.704137433218</v>
      </c>
      <c r="Y625" s="3">
        <v>36039.507848171634</v>
      </c>
      <c r="Z625" s="3">
        <v>50488.014688052601</v>
      </c>
      <c r="AA625" s="3">
        <v>-14448.506839880971</v>
      </c>
      <c r="AB625" s="3">
        <v>0</v>
      </c>
      <c r="AC625" s="3">
        <v>0</v>
      </c>
      <c r="AD625" s="3">
        <v>0</v>
      </c>
      <c r="AE625" s="3">
        <v>-103804.21097731421</v>
      </c>
      <c r="AF625" s="3">
        <v>0</v>
      </c>
      <c r="AG625" s="3">
        <v>-103804.21097731421</v>
      </c>
      <c r="AH625" s="3">
        <v>-103804.21097731421</v>
      </c>
      <c r="AI625" s="3">
        <v>80264973.717574671</v>
      </c>
      <c r="AJ625" s="3">
        <v>-7540.7459594170223</v>
      </c>
    </row>
    <row r="626" spans="1:36" x14ac:dyDescent="0.2">
      <c r="A626" s="3" t="s">
        <v>36</v>
      </c>
      <c r="B626" s="3" t="s">
        <v>37</v>
      </c>
      <c r="C626" s="3" t="s">
        <v>106</v>
      </c>
      <c r="D626" s="3">
        <v>3</v>
      </c>
      <c r="E626" s="3">
        <v>2023</v>
      </c>
      <c r="F626" s="3">
        <v>1</v>
      </c>
      <c r="G626" s="3" t="s">
        <v>39</v>
      </c>
      <c r="H626" s="3" t="s">
        <v>46</v>
      </c>
      <c r="I626" s="5">
        <v>22550429.170642167</v>
      </c>
      <c r="J626" s="3">
        <v>0</v>
      </c>
      <c r="K626" s="3">
        <v>22550429.170642167</v>
      </c>
      <c r="L626" s="3">
        <v>22523098.291339915</v>
      </c>
      <c r="M626" s="3">
        <v>27330.879302253725</v>
      </c>
      <c r="N626" s="3">
        <v>250454.59798016466</v>
      </c>
      <c r="O626" s="3">
        <f t="shared" si="10"/>
        <v>1.1106422679805366</v>
      </c>
      <c r="P626" s="3">
        <v>19050</v>
      </c>
      <c r="Q626" s="3">
        <v>0</v>
      </c>
      <c r="R626" s="3">
        <v>88966.985293672784</v>
      </c>
      <c r="S626" s="3">
        <v>0</v>
      </c>
      <c r="T626" s="3">
        <v>804.52475626647572</v>
      </c>
      <c r="U626" s="3">
        <v>2733.0879302253725</v>
      </c>
      <c r="V626" s="3">
        <v>138900</v>
      </c>
      <c r="W626" s="3">
        <v>0</v>
      </c>
      <c r="X626" s="3">
        <v>-223123.71867791095</v>
      </c>
      <c r="Y626" s="3">
        <v>15313.658560556285</v>
      </c>
      <c r="Z626" s="3">
        <v>19349.432433215683</v>
      </c>
      <c r="AA626" s="3">
        <v>-4035.7738726593971</v>
      </c>
      <c r="AB626" s="3">
        <v>0</v>
      </c>
      <c r="AC626" s="3">
        <v>0</v>
      </c>
      <c r="AD626" s="3">
        <v>0</v>
      </c>
      <c r="AE626" s="3">
        <v>-227159.49255057031</v>
      </c>
      <c r="AF626" s="3">
        <v>0</v>
      </c>
      <c r="AG626" s="3">
        <v>-227159.49255057031</v>
      </c>
      <c r="AH626" s="3">
        <v>-227159.49255057031</v>
      </c>
      <c r="AI626" s="3">
        <v>22550429.170642167</v>
      </c>
      <c r="AJ626" s="3">
        <v>0</v>
      </c>
    </row>
    <row r="627" spans="1:36" x14ac:dyDescent="0.2">
      <c r="A627" s="3" t="s">
        <v>36</v>
      </c>
      <c r="B627" s="3" t="s">
        <v>37</v>
      </c>
      <c r="C627" s="3" t="s">
        <v>106</v>
      </c>
      <c r="D627" s="3">
        <v>3</v>
      </c>
      <c r="E627" s="3">
        <v>2023</v>
      </c>
      <c r="F627" s="3">
        <v>1</v>
      </c>
      <c r="G627" s="3" t="s">
        <v>48</v>
      </c>
      <c r="H627" s="3" t="s">
        <v>46</v>
      </c>
      <c r="I627" s="5">
        <v>35353994</v>
      </c>
      <c r="J627" s="3">
        <v>1104246</v>
      </c>
      <c r="K627" s="3">
        <v>34249748</v>
      </c>
      <c r="L627" s="3">
        <v>24262499.768000003</v>
      </c>
      <c r="M627" s="3">
        <v>9987248.2320000008</v>
      </c>
      <c r="N627" s="3">
        <v>4163174.7280748538</v>
      </c>
      <c r="O627" s="3">
        <f t="shared" si="10"/>
        <v>12.155344115451166</v>
      </c>
      <c r="P627" s="3">
        <v>0</v>
      </c>
      <c r="Q627" s="3">
        <v>27001.560256818069</v>
      </c>
      <c r="R627" s="3">
        <v>1546571.0840567932</v>
      </c>
      <c r="S627" s="3">
        <v>404423.25666775519</v>
      </c>
      <c r="T627" s="3">
        <v>1069598.8855148433</v>
      </c>
      <c r="U627" s="3">
        <v>901457.59656420921</v>
      </c>
      <c r="V627" s="3">
        <v>214122.34501443501</v>
      </c>
      <c r="W627" s="3">
        <v>0</v>
      </c>
      <c r="X627" s="3">
        <v>5824073.5039251465</v>
      </c>
      <c r="Y627" s="3">
        <v>0</v>
      </c>
      <c r="Z627" s="3">
        <v>954419.81068214215</v>
      </c>
      <c r="AA627" s="3">
        <v>-954419.81068214215</v>
      </c>
      <c r="AB627" s="3">
        <v>0</v>
      </c>
      <c r="AC627" s="3">
        <v>321586.31849356124</v>
      </c>
      <c r="AD627" s="3">
        <v>-321586.31849356124</v>
      </c>
      <c r="AE627" s="3">
        <v>4548067.3747494426</v>
      </c>
      <c r="AF627" s="3">
        <v>0</v>
      </c>
      <c r="AG627" s="3">
        <v>4548067.3747494426</v>
      </c>
      <c r="AH627" s="3">
        <v>4548067.3747494426</v>
      </c>
      <c r="AI627" s="3">
        <v>0</v>
      </c>
      <c r="AJ627" s="3">
        <v>0</v>
      </c>
    </row>
    <row r="628" spans="1:36" x14ac:dyDescent="0.2">
      <c r="A628" s="3" t="s">
        <v>36</v>
      </c>
      <c r="B628" s="3" t="s">
        <v>37</v>
      </c>
      <c r="C628" s="3" t="s">
        <v>107</v>
      </c>
      <c r="D628" s="3">
        <v>3</v>
      </c>
      <c r="E628" s="3">
        <v>2023</v>
      </c>
      <c r="F628" s="3">
        <v>1</v>
      </c>
      <c r="G628" s="3" t="s">
        <v>48</v>
      </c>
      <c r="H628" s="3" t="s">
        <v>46</v>
      </c>
      <c r="I628" s="5">
        <v>1328400</v>
      </c>
      <c r="J628" s="3">
        <v>90495</v>
      </c>
      <c r="K628" s="3">
        <v>1237905</v>
      </c>
      <c r="L628" s="3">
        <v>885525.72</v>
      </c>
      <c r="M628" s="3">
        <v>352379.28</v>
      </c>
      <c r="N628" s="3">
        <v>506291.60778821423</v>
      </c>
      <c r="O628" s="3">
        <f t="shared" si="10"/>
        <v>40.899068005074234</v>
      </c>
      <c r="P628" s="3">
        <v>0</v>
      </c>
      <c r="Q628" s="3">
        <v>1041.2320122795832</v>
      </c>
      <c r="R628" s="3">
        <v>415803.10716994363</v>
      </c>
      <c r="S628" s="3">
        <v>15195.902736122145</v>
      </c>
      <c r="T628" s="3">
        <v>40189.381700916674</v>
      </c>
      <c r="U628" s="3">
        <v>33871.59796643896</v>
      </c>
      <c r="V628" s="3">
        <v>190.38620251320509</v>
      </c>
      <c r="W628" s="3">
        <v>0</v>
      </c>
      <c r="X628" s="3">
        <v>-153912.32778821426</v>
      </c>
      <c r="Y628" s="3">
        <v>0</v>
      </c>
      <c r="Z628" s="3">
        <v>227198.52357641672</v>
      </c>
      <c r="AA628" s="3">
        <v>-227198.52357641672</v>
      </c>
      <c r="AB628" s="3">
        <v>0</v>
      </c>
      <c r="AC628" s="3">
        <v>12083.366464531467</v>
      </c>
      <c r="AD628" s="3">
        <v>-12083.366464531467</v>
      </c>
      <c r="AE628" s="3">
        <v>-393194.21782916237</v>
      </c>
      <c r="AF628" s="3">
        <v>0</v>
      </c>
      <c r="AG628" s="3">
        <v>-393194.21782916237</v>
      </c>
      <c r="AH628" s="3">
        <v>-393194.21782916237</v>
      </c>
      <c r="AI628" s="3">
        <v>0</v>
      </c>
      <c r="AJ628" s="3">
        <v>0</v>
      </c>
    </row>
    <row r="629" spans="1:36" x14ac:dyDescent="0.2">
      <c r="A629" s="3" t="s">
        <v>36</v>
      </c>
      <c r="B629" s="3" t="s">
        <v>37</v>
      </c>
      <c r="C629" s="3" t="s">
        <v>58</v>
      </c>
      <c r="D629" s="3">
        <v>1</v>
      </c>
      <c r="E629" s="3">
        <v>2023</v>
      </c>
      <c r="F629" s="3">
        <v>1</v>
      </c>
      <c r="G629" s="3" t="s">
        <v>42</v>
      </c>
      <c r="H629" s="3" t="s">
        <v>46</v>
      </c>
      <c r="I629" s="5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 t="e">
        <f t="shared" si="10"/>
        <v>#DIV/0!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</row>
    <row r="630" spans="1:36" x14ac:dyDescent="0.2">
      <c r="A630" s="3" t="s">
        <v>36</v>
      </c>
      <c r="B630" s="3" t="s">
        <v>37</v>
      </c>
      <c r="C630" s="3" t="s">
        <v>58</v>
      </c>
      <c r="D630" s="3">
        <v>2</v>
      </c>
      <c r="E630" s="3">
        <v>2023</v>
      </c>
      <c r="F630" s="3">
        <v>1</v>
      </c>
      <c r="G630" s="3" t="s">
        <v>42</v>
      </c>
      <c r="H630" s="3" t="s">
        <v>46</v>
      </c>
      <c r="I630" s="5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 t="e">
        <f t="shared" si="10"/>
        <v>#DIV/0!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</row>
    <row r="631" spans="1:36" x14ac:dyDescent="0.2">
      <c r="A631" s="3" t="s">
        <v>36</v>
      </c>
      <c r="B631" s="3" t="s">
        <v>37</v>
      </c>
      <c r="C631" s="3" t="s">
        <v>58</v>
      </c>
      <c r="D631" s="3">
        <v>3</v>
      </c>
      <c r="E631" s="3">
        <v>2023</v>
      </c>
      <c r="F631" s="3">
        <v>1</v>
      </c>
      <c r="G631" s="3" t="s">
        <v>42</v>
      </c>
      <c r="H631" s="3" t="s">
        <v>46</v>
      </c>
      <c r="I631" s="5">
        <v>1800</v>
      </c>
      <c r="J631" s="3">
        <v>450</v>
      </c>
      <c r="K631" s="3">
        <v>1350</v>
      </c>
      <c r="L631" s="3">
        <v>1080</v>
      </c>
      <c r="M631" s="3">
        <v>270</v>
      </c>
      <c r="N631" s="3">
        <v>27</v>
      </c>
      <c r="O631" s="3">
        <f t="shared" si="10"/>
        <v>2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27</v>
      </c>
      <c r="V631" s="3">
        <v>0</v>
      </c>
      <c r="W631" s="3">
        <v>0</v>
      </c>
      <c r="X631" s="3">
        <v>243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243</v>
      </c>
      <c r="AF631" s="3">
        <v>0</v>
      </c>
      <c r="AG631" s="3">
        <v>243</v>
      </c>
      <c r="AH631" s="3">
        <v>243</v>
      </c>
      <c r="AI631" s="3">
        <v>0</v>
      </c>
      <c r="AJ631" s="3">
        <v>0</v>
      </c>
    </row>
    <row r="632" spans="1:36" x14ac:dyDescent="0.2">
      <c r="A632" s="3" t="s">
        <v>36</v>
      </c>
      <c r="B632" s="3" t="s">
        <v>37</v>
      </c>
      <c r="C632" s="3" t="s">
        <v>58</v>
      </c>
      <c r="D632" s="3">
        <v>1</v>
      </c>
      <c r="E632" s="3">
        <v>2023</v>
      </c>
      <c r="F632" s="3">
        <v>1</v>
      </c>
      <c r="G632" s="3" t="s">
        <v>48</v>
      </c>
      <c r="H632" s="3" t="s">
        <v>46</v>
      </c>
      <c r="I632" s="5">
        <v>475662.00000000006</v>
      </c>
      <c r="J632" s="3">
        <v>0</v>
      </c>
      <c r="K632" s="3">
        <v>475662.00000000006</v>
      </c>
      <c r="L632" s="3">
        <v>280910.27799999999</v>
      </c>
      <c r="M632" s="3">
        <v>194751.72200000004</v>
      </c>
      <c r="N632" s="3">
        <v>1252548.9867707391</v>
      </c>
      <c r="O632" s="3">
        <f t="shared" si="10"/>
        <v>263.32752811255449</v>
      </c>
      <c r="P632" s="3">
        <v>629200.00000000012</v>
      </c>
      <c r="Q632" s="3">
        <v>160624.17151215504</v>
      </c>
      <c r="R632" s="3">
        <v>390295.05097784102</v>
      </c>
      <c r="S632" s="3">
        <v>44663.859351145111</v>
      </c>
      <c r="T632" s="3">
        <v>3097.5870371641709</v>
      </c>
      <c r="U632" s="3">
        <v>15124.955198546804</v>
      </c>
      <c r="V632" s="3">
        <v>9543.3626938867019</v>
      </c>
      <c r="W632" s="3">
        <v>0</v>
      </c>
      <c r="X632" s="3">
        <v>-1057797.264770739</v>
      </c>
      <c r="Y632" s="3">
        <v>0</v>
      </c>
      <c r="Z632" s="3">
        <v>61169.339379169141</v>
      </c>
      <c r="AA632" s="3">
        <v>-61169.339379169141</v>
      </c>
      <c r="AB632" s="3">
        <v>0</v>
      </c>
      <c r="AC632" s="3">
        <v>3385.4542459254772</v>
      </c>
      <c r="AD632" s="3">
        <v>-3385.4542459254772</v>
      </c>
      <c r="AE632" s="3">
        <v>-1122352.0583958337</v>
      </c>
      <c r="AF632" s="3">
        <v>0</v>
      </c>
      <c r="AG632" s="3">
        <v>-1122352.0583958337</v>
      </c>
      <c r="AH632" s="3">
        <v>-1122352.0583958337</v>
      </c>
      <c r="AI632" s="3">
        <v>4180000.0000000005</v>
      </c>
      <c r="AJ632" s="3">
        <v>41800.000000000007</v>
      </c>
    </row>
    <row r="633" spans="1:36" x14ac:dyDescent="0.2">
      <c r="A633" s="3" t="s">
        <v>36</v>
      </c>
      <c r="B633" s="3" t="s">
        <v>37</v>
      </c>
      <c r="C633" s="3" t="s">
        <v>58</v>
      </c>
      <c r="D633" s="3">
        <v>3</v>
      </c>
      <c r="E633" s="3">
        <v>2023</v>
      </c>
      <c r="F633" s="3">
        <v>1</v>
      </c>
      <c r="G633" s="3" t="s">
        <v>48</v>
      </c>
      <c r="H633" s="3" t="s">
        <v>46</v>
      </c>
      <c r="I633" s="5">
        <v>1417894</v>
      </c>
      <c r="J633" s="3">
        <v>73129.100000000006</v>
      </c>
      <c r="K633" s="3">
        <v>1344764.9</v>
      </c>
      <c r="L633" s="3">
        <v>755454.21199999994</v>
      </c>
      <c r="M633" s="3">
        <v>589310.68799999997</v>
      </c>
      <c r="N633" s="3">
        <v>1530705.5663343873</v>
      </c>
      <c r="O633" s="3">
        <f t="shared" si="10"/>
        <v>113.82700175580038</v>
      </c>
      <c r="P633" s="3">
        <v>1086800</v>
      </c>
      <c r="Q633" s="3">
        <v>277441.75079372234</v>
      </c>
      <c r="R633" s="3">
        <v>28604.618385423797</v>
      </c>
      <c r="S633" s="3">
        <v>50000.849180164987</v>
      </c>
      <c r="T633" s="3">
        <v>42896.93102788282</v>
      </c>
      <c r="U633" s="3">
        <v>36153.519668041255</v>
      </c>
      <c r="V633" s="3">
        <v>8807.8972791522829</v>
      </c>
      <c r="W633" s="3">
        <v>0</v>
      </c>
      <c r="X633" s="3">
        <v>-941394.87833438732</v>
      </c>
      <c r="Y633" s="3">
        <v>0</v>
      </c>
      <c r="Z633" s="3">
        <v>111993.43859858793</v>
      </c>
      <c r="AA633" s="3">
        <v>-111993.43859858793</v>
      </c>
      <c r="AB633" s="3">
        <v>0</v>
      </c>
      <c r="AC633" s="3">
        <v>12897.42006162329</v>
      </c>
      <c r="AD633" s="3">
        <v>-12897.42006162329</v>
      </c>
      <c r="AE633" s="3">
        <v>-1066285.7369945985</v>
      </c>
      <c r="AF633" s="3">
        <v>0</v>
      </c>
      <c r="AG633" s="3">
        <v>-1066285.7369945985</v>
      </c>
      <c r="AH633" s="3">
        <v>-1066285.7369945985</v>
      </c>
      <c r="AI633" s="3">
        <v>1900000</v>
      </c>
      <c r="AJ633" s="3">
        <v>57000</v>
      </c>
    </row>
    <row r="634" spans="1:36" x14ac:dyDescent="0.2">
      <c r="A634" s="3" t="s">
        <v>36</v>
      </c>
      <c r="B634" s="3" t="s">
        <v>37</v>
      </c>
      <c r="C634" s="3" t="s">
        <v>58</v>
      </c>
      <c r="D634" s="3">
        <v>2</v>
      </c>
      <c r="E634" s="3">
        <v>2023</v>
      </c>
      <c r="F634" s="3">
        <v>1</v>
      </c>
      <c r="G634" s="3" t="s">
        <v>48</v>
      </c>
      <c r="H634" s="3" t="s">
        <v>46</v>
      </c>
      <c r="I634" s="5">
        <v>6458300</v>
      </c>
      <c r="J634" s="3">
        <v>469678.39999999997</v>
      </c>
      <c r="K634" s="3">
        <v>5988621.6000000006</v>
      </c>
      <c r="L634" s="3">
        <v>3497403.7</v>
      </c>
      <c r="M634" s="3">
        <v>2491217.9</v>
      </c>
      <c r="N634" s="3">
        <v>2616094.7728031091</v>
      </c>
      <c r="O634" s="3">
        <f t="shared" si="10"/>
        <v>43.684422685900017</v>
      </c>
      <c r="P634" s="3">
        <v>1144000</v>
      </c>
      <c r="Q634" s="3">
        <v>292043.94820391829</v>
      </c>
      <c r="R634" s="3">
        <v>657090.9732704605</v>
      </c>
      <c r="S634" s="3">
        <v>109704.66498138492</v>
      </c>
      <c r="T634" s="3">
        <v>66519.762575288769</v>
      </c>
      <c r="U634" s="3">
        <v>142152.00222645159</v>
      </c>
      <c r="V634" s="3">
        <v>204583.42154560529</v>
      </c>
      <c r="W634" s="3">
        <v>0</v>
      </c>
      <c r="X634" s="3">
        <v>-124876.87280310929</v>
      </c>
      <c r="Y634" s="3">
        <v>0</v>
      </c>
      <c r="Z634" s="3">
        <v>118055.80295266502</v>
      </c>
      <c r="AA634" s="3">
        <v>-118055.80295266502</v>
      </c>
      <c r="AB634" s="3">
        <v>0</v>
      </c>
      <c r="AC634" s="3">
        <v>37397.338346389784</v>
      </c>
      <c r="AD634" s="3">
        <v>-37397.338346389784</v>
      </c>
      <c r="AE634" s="3">
        <v>-280330.01410216407</v>
      </c>
      <c r="AF634" s="3">
        <v>0</v>
      </c>
      <c r="AG634" s="3">
        <v>-280330.01410216407</v>
      </c>
      <c r="AH634" s="3">
        <v>-280330.01410216407</v>
      </c>
      <c r="AI634" s="3">
        <v>5000000</v>
      </c>
      <c r="AJ634" s="3">
        <v>50000</v>
      </c>
    </row>
    <row r="635" spans="1:36" x14ac:dyDescent="0.2">
      <c r="A635" s="3" t="s">
        <v>36</v>
      </c>
      <c r="B635" s="3" t="s">
        <v>37</v>
      </c>
      <c r="C635" s="3" t="s">
        <v>59</v>
      </c>
      <c r="D635" s="3">
        <v>1</v>
      </c>
      <c r="E635" s="3">
        <v>2023</v>
      </c>
      <c r="F635" s="3">
        <v>1</v>
      </c>
      <c r="G635" s="3" t="s">
        <v>42</v>
      </c>
      <c r="H635" s="3" t="s">
        <v>46</v>
      </c>
      <c r="I635" s="5">
        <v>0</v>
      </c>
      <c r="J635" s="3">
        <v>0</v>
      </c>
      <c r="K635" s="3">
        <v>0</v>
      </c>
      <c r="L635" s="3">
        <v>0</v>
      </c>
      <c r="M635" s="3">
        <v>0</v>
      </c>
      <c r="N635" s="3">
        <v>593.97800000000007</v>
      </c>
      <c r="O635" s="3" t="e">
        <f t="shared" si="10"/>
        <v>#DIV/0!</v>
      </c>
      <c r="P635" s="3">
        <v>0</v>
      </c>
      <c r="Q635" s="3">
        <v>0</v>
      </c>
      <c r="R635" s="3">
        <v>0</v>
      </c>
      <c r="S635" s="3">
        <v>593.97800000000007</v>
      </c>
      <c r="T635" s="3">
        <v>0</v>
      </c>
      <c r="U635" s="3">
        <v>0</v>
      </c>
      <c r="V635" s="3">
        <v>0</v>
      </c>
      <c r="W635" s="3">
        <v>0</v>
      </c>
      <c r="X635" s="3">
        <v>-593.97800000000007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-593.97800000000007</v>
      </c>
      <c r="AF635" s="3">
        <v>0</v>
      </c>
      <c r="AG635" s="3">
        <v>-593.97800000000007</v>
      </c>
      <c r="AH635" s="3">
        <v>-593.97800000000007</v>
      </c>
      <c r="AI635" s="3">
        <v>0</v>
      </c>
      <c r="AJ635" s="3">
        <v>0</v>
      </c>
    </row>
    <row r="636" spans="1:36" x14ac:dyDescent="0.2">
      <c r="A636" s="3" t="s">
        <v>36</v>
      </c>
      <c r="B636" s="3" t="s">
        <v>37</v>
      </c>
      <c r="C636" s="3" t="s">
        <v>59</v>
      </c>
      <c r="D636" s="3">
        <v>2</v>
      </c>
      <c r="E636" s="3">
        <v>2023</v>
      </c>
      <c r="F636" s="3">
        <v>1</v>
      </c>
      <c r="G636" s="3" t="s">
        <v>42</v>
      </c>
      <c r="H636" s="3" t="s">
        <v>46</v>
      </c>
      <c r="I636" s="5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 t="e">
        <f t="shared" si="10"/>
        <v>#DIV/0!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</row>
    <row r="637" spans="1:36" x14ac:dyDescent="0.2">
      <c r="A637" s="3" t="s">
        <v>36</v>
      </c>
      <c r="B637" s="3" t="s">
        <v>37</v>
      </c>
      <c r="C637" s="3" t="s">
        <v>59</v>
      </c>
      <c r="D637" s="3">
        <v>3</v>
      </c>
      <c r="E637" s="3">
        <v>2023</v>
      </c>
      <c r="F637" s="3">
        <v>1</v>
      </c>
      <c r="G637" s="3" t="s">
        <v>42</v>
      </c>
      <c r="H637" s="3" t="s">
        <v>46</v>
      </c>
      <c r="I637" s="5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 t="e">
        <f t="shared" si="10"/>
        <v>#DIV/0!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1456.4054407570914</v>
      </c>
      <c r="AA637" s="3">
        <v>-1456.4054407570914</v>
      </c>
      <c r="AB637" s="3">
        <v>0</v>
      </c>
      <c r="AC637" s="3">
        <v>0</v>
      </c>
      <c r="AD637" s="3">
        <v>0</v>
      </c>
      <c r="AE637" s="3">
        <v>-1456.4054407570914</v>
      </c>
      <c r="AF637" s="3">
        <v>0</v>
      </c>
      <c r="AG637" s="3">
        <v>-1456.4054407570914</v>
      </c>
      <c r="AH637" s="3">
        <v>-1456.4054407570914</v>
      </c>
      <c r="AI637" s="3">
        <v>0</v>
      </c>
      <c r="AJ637" s="3">
        <v>0</v>
      </c>
    </row>
    <row r="638" spans="1:36" x14ac:dyDescent="0.2">
      <c r="A638" s="3" t="s">
        <v>36</v>
      </c>
      <c r="B638" s="3" t="s">
        <v>37</v>
      </c>
      <c r="C638" s="3" t="s">
        <v>59</v>
      </c>
      <c r="D638" s="3">
        <v>3</v>
      </c>
      <c r="E638" s="3">
        <v>2023</v>
      </c>
      <c r="F638" s="3">
        <v>1</v>
      </c>
      <c r="G638" s="3" t="s">
        <v>48</v>
      </c>
      <c r="H638" s="3" t="s">
        <v>46</v>
      </c>
      <c r="I638" s="5">
        <v>596960</v>
      </c>
      <c r="J638" s="3">
        <v>42796</v>
      </c>
      <c r="K638" s="3">
        <v>554164</v>
      </c>
      <c r="L638" s="3">
        <v>328756.35000000003</v>
      </c>
      <c r="M638" s="3">
        <v>225407.65</v>
      </c>
      <c r="N638" s="3">
        <v>1375199.3669959004</v>
      </c>
      <c r="O638" s="3">
        <f t="shared" si="10"/>
        <v>248.15747089235325</v>
      </c>
      <c r="P638" s="3">
        <v>1003860</v>
      </c>
      <c r="Q638" s="3">
        <v>299497.68710756779</v>
      </c>
      <c r="R638" s="3">
        <v>12043.081493653679</v>
      </c>
      <c r="S638" s="3">
        <v>22808.584044380819</v>
      </c>
      <c r="T638" s="3">
        <v>18060.413505103294</v>
      </c>
      <c r="U638" s="3">
        <v>15221.310691091092</v>
      </c>
      <c r="V638" s="3">
        <v>3708.2901541037249</v>
      </c>
      <c r="W638" s="3">
        <v>0</v>
      </c>
      <c r="X638" s="3">
        <v>-1149791.7169959003</v>
      </c>
      <c r="Y638" s="3">
        <v>0</v>
      </c>
      <c r="Z638" s="3">
        <v>164849.50691832713</v>
      </c>
      <c r="AA638" s="3">
        <v>-164849.50691832713</v>
      </c>
      <c r="AB638" s="3">
        <v>0</v>
      </c>
      <c r="AC638" s="3">
        <v>5430.0560408511792</v>
      </c>
      <c r="AD638" s="3">
        <v>-5430.0560408511792</v>
      </c>
      <c r="AE638" s="3">
        <v>-1320071.2799550788</v>
      </c>
      <c r="AF638" s="3">
        <v>0</v>
      </c>
      <c r="AG638" s="3">
        <v>-1320071.2799550788</v>
      </c>
      <c r="AH638" s="3">
        <v>-1320071.2799550788</v>
      </c>
      <c r="AI638" s="3">
        <v>2600000</v>
      </c>
      <c r="AJ638" s="3">
        <v>0</v>
      </c>
    </row>
    <row r="639" spans="1:36" x14ac:dyDescent="0.2">
      <c r="A639" s="3" t="s">
        <v>36</v>
      </c>
      <c r="B639" s="3" t="s">
        <v>37</v>
      </c>
      <c r="C639" s="3" t="s">
        <v>59</v>
      </c>
      <c r="D639" s="3">
        <v>1</v>
      </c>
      <c r="E639" s="3">
        <v>2023</v>
      </c>
      <c r="F639" s="3">
        <v>1</v>
      </c>
      <c r="G639" s="3" t="s">
        <v>48</v>
      </c>
      <c r="H639" s="3" t="s">
        <v>46</v>
      </c>
      <c r="I639" s="5">
        <v>909384</v>
      </c>
      <c r="J639" s="3">
        <v>40867.199999999997</v>
      </c>
      <c r="K639" s="3">
        <v>868516.79999999993</v>
      </c>
      <c r="L639" s="3">
        <v>483898.82399999996</v>
      </c>
      <c r="M639" s="3">
        <v>384617.97599999997</v>
      </c>
      <c r="N639" s="3">
        <v>2301295.9478323054</v>
      </c>
      <c r="O639" s="3">
        <f t="shared" si="10"/>
        <v>264.96850122326998</v>
      </c>
      <c r="P639" s="3">
        <v>926640</v>
      </c>
      <c r="Q639" s="3">
        <v>276459.40348390868</v>
      </c>
      <c r="R639" s="3">
        <v>938584.08507728716</v>
      </c>
      <c r="S639" s="3">
        <v>107921.01249231189</v>
      </c>
      <c r="T639" s="3">
        <v>5922.0540850530451</v>
      </c>
      <c r="U639" s="3">
        <v>28916.315068841501</v>
      </c>
      <c r="V639" s="3">
        <v>16853.077624902886</v>
      </c>
      <c r="W639" s="3">
        <v>0</v>
      </c>
      <c r="X639" s="3">
        <v>-1916677.9718323054</v>
      </c>
      <c r="Y639" s="3">
        <v>0</v>
      </c>
      <c r="Z639" s="3">
        <v>137706.70845242805</v>
      </c>
      <c r="AA639" s="3">
        <v>-137706.70845242805</v>
      </c>
      <c r="AB639" s="3">
        <v>0</v>
      </c>
      <c r="AC639" s="3">
        <v>6472.4067173259446</v>
      </c>
      <c r="AD639" s="3">
        <v>-6472.4067173259446</v>
      </c>
      <c r="AE639" s="3">
        <v>-2060857.0870020594</v>
      </c>
      <c r="AF639" s="3">
        <v>0</v>
      </c>
      <c r="AG639" s="3">
        <v>-2060857.0870020594</v>
      </c>
      <c r="AH639" s="3">
        <v>-2060857.0870020594</v>
      </c>
      <c r="AI639" s="3">
        <v>7200000</v>
      </c>
      <c r="AJ639" s="3">
        <v>0</v>
      </c>
    </row>
    <row r="640" spans="1:36" x14ac:dyDescent="0.2">
      <c r="A640" s="3" t="s">
        <v>36</v>
      </c>
      <c r="B640" s="3" t="s">
        <v>37</v>
      </c>
      <c r="C640" s="3" t="s">
        <v>59</v>
      </c>
      <c r="D640" s="3">
        <v>2</v>
      </c>
      <c r="E640" s="3">
        <v>2023</v>
      </c>
      <c r="F640" s="3">
        <v>1</v>
      </c>
      <c r="G640" s="3" t="s">
        <v>48</v>
      </c>
      <c r="H640" s="3" t="s">
        <v>46</v>
      </c>
      <c r="I640" s="5">
        <v>3396240</v>
      </c>
      <c r="J640" s="3">
        <v>193092</v>
      </c>
      <c r="K640" s="3">
        <v>3203148</v>
      </c>
      <c r="L640" s="3">
        <v>1817737.08</v>
      </c>
      <c r="M640" s="3">
        <v>1385410.92</v>
      </c>
      <c r="N640" s="3">
        <v>3253588.6625379161</v>
      </c>
      <c r="O640" s="3">
        <f t="shared" ref="O640:O703" si="11">N640/K640*100</f>
        <v>101.57472157196345</v>
      </c>
      <c r="P640" s="3">
        <v>1158300</v>
      </c>
      <c r="Q640" s="3">
        <v>345574.2543548859</v>
      </c>
      <c r="R640" s="3">
        <v>1218694.4526296693</v>
      </c>
      <c r="S640" s="3">
        <v>144497.67301130269</v>
      </c>
      <c r="T640" s="3">
        <v>34980.889467615118</v>
      </c>
      <c r="U640" s="3">
        <v>74753.776696896079</v>
      </c>
      <c r="V640" s="3">
        <v>276787.61637754703</v>
      </c>
      <c r="W640" s="3">
        <v>0</v>
      </c>
      <c r="X640" s="3">
        <v>-1868177.7425379164</v>
      </c>
      <c r="Y640" s="3">
        <v>0</v>
      </c>
      <c r="Z640" s="3">
        <v>188833.26618038936</v>
      </c>
      <c r="AA640" s="3">
        <v>-188833.26618038936</v>
      </c>
      <c r="AB640" s="3">
        <v>0</v>
      </c>
      <c r="AC640" s="3">
        <v>19666.218104693624</v>
      </c>
      <c r="AD640" s="3">
        <v>-19666.218104693624</v>
      </c>
      <c r="AE640" s="3">
        <v>-2076677.2268229991</v>
      </c>
      <c r="AF640" s="3">
        <v>0</v>
      </c>
      <c r="AG640" s="3">
        <v>-2076677.2268229991</v>
      </c>
      <c r="AH640" s="3">
        <v>-2076677.2268229991</v>
      </c>
      <c r="AI640" s="3">
        <v>6600000</v>
      </c>
      <c r="AJ640" s="3">
        <v>0</v>
      </c>
    </row>
    <row r="641" spans="1:36" x14ac:dyDescent="0.2">
      <c r="A641" s="3" t="s">
        <v>36</v>
      </c>
      <c r="B641" s="3" t="s">
        <v>37</v>
      </c>
      <c r="C641" s="3" t="s">
        <v>60</v>
      </c>
      <c r="D641" s="3">
        <v>1</v>
      </c>
      <c r="E641" s="3">
        <v>2023</v>
      </c>
      <c r="F641" s="3">
        <v>1</v>
      </c>
      <c r="G641" s="3" t="s">
        <v>42</v>
      </c>
      <c r="H641" s="3" t="s">
        <v>46</v>
      </c>
      <c r="I641" s="5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 t="e">
        <f t="shared" si="11"/>
        <v>#DIV/0!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</row>
    <row r="642" spans="1:36" x14ac:dyDescent="0.2">
      <c r="A642" s="3" t="s">
        <v>36</v>
      </c>
      <c r="B642" s="3" t="s">
        <v>37</v>
      </c>
      <c r="C642" s="3" t="s">
        <v>60</v>
      </c>
      <c r="D642" s="3">
        <v>3</v>
      </c>
      <c r="E642" s="3">
        <v>2023</v>
      </c>
      <c r="F642" s="3">
        <v>1</v>
      </c>
      <c r="G642" s="3" t="s">
        <v>42</v>
      </c>
      <c r="H642" s="3" t="s">
        <v>46</v>
      </c>
      <c r="I642" s="5">
        <v>28600</v>
      </c>
      <c r="J642" s="3">
        <v>7150</v>
      </c>
      <c r="K642" s="3">
        <v>21450</v>
      </c>
      <c r="L642" s="3">
        <v>17160</v>
      </c>
      <c r="M642" s="3">
        <v>4290</v>
      </c>
      <c r="N642" s="3">
        <v>15068.3</v>
      </c>
      <c r="O642" s="3">
        <f t="shared" si="11"/>
        <v>70.24848484848485</v>
      </c>
      <c r="P642" s="3">
        <v>0</v>
      </c>
      <c r="Q642" s="3">
        <v>0</v>
      </c>
      <c r="R642" s="3">
        <v>0</v>
      </c>
      <c r="S642" s="3">
        <v>14639.300000000001</v>
      </c>
      <c r="T642" s="3">
        <v>0</v>
      </c>
      <c r="U642" s="3">
        <v>429</v>
      </c>
      <c r="V642" s="3">
        <v>0</v>
      </c>
      <c r="W642" s="3">
        <v>0</v>
      </c>
      <c r="X642" s="3">
        <v>-10778.3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-10778.3</v>
      </c>
      <c r="AF642" s="3">
        <v>0</v>
      </c>
      <c r="AG642" s="3">
        <v>-10778.3</v>
      </c>
      <c r="AH642" s="3">
        <v>-10778.3</v>
      </c>
      <c r="AI642" s="3">
        <v>0</v>
      </c>
      <c r="AJ642" s="3">
        <v>0</v>
      </c>
    </row>
    <row r="643" spans="1:36" x14ac:dyDescent="0.2">
      <c r="A643" s="3" t="s">
        <v>36</v>
      </c>
      <c r="B643" s="3" t="s">
        <v>37</v>
      </c>
      <c r="C643" s="3" t="s">
        <v>60</v>
      </c>
      <c r="D643" s="3">
        <v>2</v>
      </c>
      <c r="E643" s="3">
        <v>2023</v>
      </c>
      <c r="F643" s="3">
        <v>1</v>
      </c>
      <c r="G643" s="3" t="s">
        <v>42</v>
      </c>
      <c r="H643" s="3" t="s">
        <v>46</v>
      </c>
      <c r="I643" s="5">
        <v>179850</v>
      </c>
      <c r="J643" s="3">
        <v>10935</v>
      </c>
      <c r="K643" s="3">
        <v>168915</v>
      </c>
      <c r="L643" s="3">
        <v>107910</v>
      </c>
      <c r="M643" s="3">
        <v>61005</v>
      </c>
      <c r="N643" s="3">
        <v>6100.5</v>
      </c>
      <c r="O643" s="3">
        <f t="shared" si="11"/>
        <v>3.6115797886510967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6100.5</v>
      </c>
      <c r="V643" s="3">
        <v>0</v>
      </c>
      <c r="W643" s="3">
        <v>0</v>
      </c>
      <c r="X643" s="3">
        <v>54904.5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54904.5</v>
      </c>
      <c r="AF643" s="3">
        <v>0</v>
      </c>
      <c r="AG643" s="3">
        <v>54904.5</v>
      </c>
      <c r="AH643" s="3">
        <v>54904.5</v>
      </c>
      <c r="AI643" s="3">
        <v>0</v>
      </c>
      <c r="AJ643" s="3">
        <v>0</v>
      </c>
    </row>
    <row r="644" spans="1:36" x14ac:dyDescent="0.2">
      <c r="A644" s="3" t="s">
        <v>36</v>
      </c>
      <c r="B644" s="3" t="s">
        <v>37</v>
      </c>
      <c r="C644" s="3" t="s">
        <v>60</v>
      </c>
      <c r="D644" s="3">
        <v>3</v>
      </c>
      <c r="E644" s="3">
        <v>2023</v>
      </c>
      <c r="F644" s="3">
        <v>1</v>
      </c>
      <c r="G644" s="3" t="s">
        <v>48</v>
      </c>
      <c r="H644" s="3" t="s">
        <v>46</v>
      </c>
      <c r="I644" s="5">
        <v>4621968</v>
      </c>
      <c r="J644" s="3">
        <v>180993.91999999998</v>
      </c>
      <c r="K644" s="3">
        <v>4440974.08</v>
      </c>
      <c r="L644" s="3">
        <v>2443485.872</v>
      </c>
      <c r="M644" s="3">
        <v>1997488.2080000001</v>
      </c>
      <c r="N644" s="3">
        <v>2215165.9839873337</v>
      </c>
      <c r="O644" s="3">
        <f t="shared" si="11"/>
        <v>49.880182682519361</v>
      </c>
      <c r="P644" s="3">
        <v>879200</v>
      </c>
      <c r="Q644" s="3">
        <v>321557.5322936395</v>
      </c>
      <c r="R644" s="3">
        <v>620554.39736611198</v>
      </c>
      <c r="S644" s="3">
        <v>106928.62600773036</v>
      </c>
      <c r="T644" s="3">
        <v>139832.9088839374</v>
      </c>
      <c r="U644" s="3">
        <v>117851.13061558716</v>
      </c>
      <c r="V644" s="3">
        <v>29241.388820327134</v>
      </c>
      <c r="W644" s="3">
        <v>0</v>
      </c>
      <c r="X644" s="3">
        <v>-217677.77598733333</v>
      </c>
      <c r="Y644" s="3">
        <v>0</v>
      </c>
      <c r="Z644" s="3">
        <v>157914.45332196401</v>
      </c>
      <c r="AA644" s="3">
        <v>-157914.45332196401</v>
      </c>
      <c r="AB644" s="3">
        <v>0</v>
      </c>
      <c r="AC644" s="3">
        <v>42042.256196429982</v>
      </c>
      <c r="AD644" s="3">
        <v>-42042.256196429982</v>
      </c>
      <c r="AE644" s="3">
        <v>-417634.48550572729</v>
      </c>
      <c r="AF644" s="3">
        <v>0</v>
      </c>
      <c r="AG644" s="3">
        <v>-417634.48550572729</v>
      </c>
      <c r="AH644" s="3">
        <v>-417634.48550572729</v>
      </c>
      <c r="AI644" s="3">
        <v>8000000</v>
      </c>
      <c r="AJ644" s="3">
        <v>8000</v>
      </c>
    </row>
    <row r="645" spans="1:36" x14ac:dyDescent="0.2">
      <c r="A645" s="3" t="s">
        <v>36</v>
      </c>
      <c r="B645" s="3" t="s">
        <v>37</v>
      </c>
      <c r="C645" s="3" t="s">
        <v>60</v>
      </c>
      <c r="D645" s="3">
        <v>1</v>
      </c>
      <c r="E645" s="3">
        <v>2023</v>
      </c>
      <c r="F645" s="3">
        <v>1</v>
      </c>
      <c r="G645" s="3" t="s">
        <v>48</v>
      </c>
      <c r="H645" s="3" t="s">
        <v>46</v>
      </c>
      <c r="I645" s="5">
        <v>5674448</v>
      </c>
      <c r="J645" s="3">
        <v>166713.60000000001</v>
      </c>
      <c r="K645" s="3">
        <v>5507734.3999999994</v>
      </c>
      <c r="L645" s="3">
        <v>3005483.3600000003</v>
      </c>
      <c r="M645" s="3">
        <v>2502251.04</v>
      </c>
      <c r="N645" s="3">
        <v>2227317.1883959258</v>
      </c>
      <c r="O645" s="3">
        <f t="shared" si="11"/>
        <v>40.439807489553708</v>
      </c>
      <c r="P645" s="3">
        <v>879200</v>
      </c>
      <c r="Q645" s="3">
        <v>321557.5322936395</v>
      </c>
      <c r="R645" s="3">
        <v>606668.44069635542</v>
      </c>
      <c r="S645" s="3">
        <v>135084.30255984448</v>
      </c>
      <c r="T645" s="3">
        <v>36952.913135508308</v>
      </c>
      <c r="U645" s="3">
        <v>180434.3667908799</v>
      </c>
      <c r="V645" s="3">
        <v>67419.632919697731</v>
      </c>
      <c r="W645" s="3">
        <v>0</v>
      </c>
      <c r="X645" s="3">
        <v>274933.85160407453</v>
      </c>
      <c r="Y645" s="3">
        <v>0</v>
      </c>
      <c r="Z645" s="3">
        <v>147128.90848038337</v>
      </c>
      <c r="AA645" s="3">
        <v>-147128.90848038337</v>
      </c>
      <c r="AB645" s="3">
        <v>0</v>
      </c>
      <c r="AC645" s="3">
        <v>40387.048103239969</v>
      </c>
      <c r="AD645" s="3">
        <v>-40387.048103239969</v>
      </c>
      <c r="AE645" s="3">
        <v>87417.895020451164</v>
      </c>
      <c r="AF645" s="3">
        <v>0</v>
      </c>
      <c r="AG645" s="3">
        <v>87417.895020451164</v>
      </c>
      <c r="AH645" s="3">
        <v>87417.895020451164</v>
      </c>
      <c r="AI645" s="3">
        <v>9600000</v>
      </c>
      <c r="AJ645" s="3">
        <v>9600</v>
      </c>
    </row>
    <row r="646" spans="1:36" x14ac:dyDescent="0.2">
      <c r="A646" s="3" t="s">
        <v>36</v>
      </c>
      <c r="B646" s="3" t="s">
        <v>37</v>
      </c>
      <c r="C646" s="3" t="s">
        <v>60</v>
      </c>
      <c r="D646" s="3">
        <v>2</v>
      </c>
      <c r="E646" s="3">
        <v>2023</v>
      </c>
      <c r="F646" s="3">
        <v>1</v>
      </c>
      <c r="G646" s="3" t="s">
        <v>48</v>
      </c>
      <c r="H646" s="3" t="s">
        <v>46</v>
      </c>
      <c r="I646" s="5">
        <v>7459932</v>
      </c>
      <c r="J646" s="3">
        <v>462503.75999999995</v>
      </c>
      <c r="K646" s="3">
        <v>6997428.2400000002</v>
      </c>
      <c r="L646" s="3">
        <v>4069567.0439999998</v>
      </c>
      <c r="M646" s="3">
        <v>2927861.1959999995</v>
      </c>
      <c r="N646" s="3">
        <v>1891646.3494235799</v>
      </c>
      <c r="O646" s="3">
        <f t="shared" si="11"/>
        <v>27.033451212978495</v>
      </c>
      <c r="P646" s="3">
        <v>659400</v>
      </c>
      <c r="Q646" s="3">
        <v>241168.14922022959</v>
      </c>
      <c r="R646" s="3">
        <v>531805.02605566371</v>
      </c>
      <c r="S646" s="3">
        <v>108489.80468396613</v>
      </c>
      <c r="T646" s="3">
        <v>76836.459357384942</v>
      </c>
      <c r="U646" s="3">
        <v>164198.66997091766</v>
      </c>
      <c r="V646" s="3">
        <v>109748.24013541776</v>
      </c>
      <c r="W646" s="3">
        <v>0</v>
      </c>
      <c r="X646" s="3">
        <v>1036214.8465764202</v>
      </c>
      <c r="Y646" s="3">
        <v>0</v>
      </c>
      <c r="Z646" s="3">
        <v>116021.84874982876</v>
      </c>
      <c r="AA646" s="3">
        <v>-116021.84874982876</v>
      </c>
      <c r="AB646" s="3">
        <v>0</v>
      </c>
      <c r="AC646" s="3">
        <v>43197.374083746538</v>
      </c>
      <c r="AD646" s="3">
        <v>-43197.374083746538</v>
      </c>
      <c r="AE646" s="3">
        <v>876995.62374284491</v>
      </c>
      <c r="AF646" s="3">
        <v>0</v>
      </c>
      <c r="AG646" s="3">
        <v>876995.62374284491</v>
      </c>
      <c r="AH646" s="3">
        <v>876995.62374284491</v>
      </c>
      <c r="AI646" s="3">
        <v>7800000</v>
      </c>
      <c r="AJ646" s="3">
        <v>7800</v>
      </c>
    </row>
    <row r="647" spans="1:36" x14ac:dyDescent="0.2">
      <c r="A647" s="3" t="s">
        <v>36</v>
      </c>
      <c r="B647" s="3" t="s">
        <v>37</v>
      </c>
      <c r="C647" s="3" t="s">
        <v>108</v>
      </c>
      <c r="D647" s="3">
        <v>3</v>
      </c>
      <c r="E647" s="3">
        <v>2023</v>
      </c>
      <c r="F647" s="3">
        <v>1</v>
      </c>
      <c r="G647" s="3" t="s">
        <v>42</v>
      </c>
      <c r="H647" s="3" t="s">
        <v>46</v>
      </c>
      <c r="I647" s="5">
        <v>233172</v>
      </c>
      <c r="J647" s="3">
        <v>15790.8</v>
      </c>
      <c r="K647" s="3">
        <v>217381.19999999998</v>
      </c>
      <c r="L647" s="3">
        <v>139903.20000000001</v>
      </c>
      <c r="M647" s="3">
        <v>77478</v>
      </c>
      <c r="N647" s="3">
        <v>116658.78</v>
      </c>
      <c r="O647" s="3">
        <f t="shared" si="11"/>
        <v>53.665533173981927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7747.7999999999993</v>
      </c>
      <c r="V647" s="3">
        <v>108910.98</v>
      </c>
      <c r="W647" s="3">
        <v>0</v>
      </c>
      <c r="X647" s="3">
        <v>-39180.78</v>
      </c>
      <c r="Y647" s="3">
        <v>0</v>
      </c>
      <c r="Z647" s="3">
        <v>20335.239619241831</v>
      </c>
      <c r="AA647" s="3">
        <v>-20335.239619241831</v>
      </c>
      <c r="AB647" s="3">
        <v>0</v>
      </c>
      <c r="AC647" s="3">
        <v>0</v>
      </c>
      <c r="AD647" s="3">
        <v>0</v>
      </c>
      <c r="AE647" s="3">
        <v>-59516.019619241837</v>
      </c>
      <c r="AF647" s="3">
        <v>0</v>
      </c>
      <c r="AG647" s="3">
        <v>-59516.019619241837</v>
      </c>
      <c r="AH647" s="3">
        <v>-59516.019619241837</v>
      </c>
      <c r="AI647" s="3">
        <v>0</v>
      </c>
      <c r="AJ647" s="3">
        <v>0</v>
      </c>
    </row>
    <row r="648" spans="1:36" x14ac:dyDescent="0.2">
      <c r="A648" s="3" t="s">
        <v>36</v>
      </c>
      <c r="B648" s="3" t="s">
        <v>37</v>
      </c>
      <c r="C648" s="3" t="s">
        <v>108</v>
      </c>
      <c r="D648" s="3">
        <v>3</v>
      </c>
      <c r="E648" s="3">
        <v>2023</v>
      </c>
      <c r="F648" s="3">
        <v>1</v>
      </c>
      <c r="G648" s="3" t="s">
        <v>48</v>
      </c>
      <c r="H648" s="3" t="s">
        <v>46</v>
      </c>
      <c r="I648" s="5">
        <v>755543.25</v>
      </c>
      <c r="J648" s="3">
        <v>0</v>
      </c>
      <c r="K648" s="3">
        <v>755543.25</v>
      </c>
      <c r="L648" s="3">
        <v>440265.56400000001</v>
      </c>
      <c r="M648" s="3">
        <v>315277.68600000005</v>
      </c>
      <c r="N648" s="3">
        <v>236086.39881481594</v>
      </c>
      <c r="O648" s="3">
        <f t="shared" si="11"/>
        <v>31.247238171317914</v>
      </c>
      <c r="P648" s="3">
        <v>0</v>
      </c>
      <c r="Q648" s="3">
        <v>35529.791364543795</v>
      </c>
      <c r="R648" s="3">
        <v>15242.342756181244</v>
      </c>
      <c r="S648" s="3">
        <v>8642.8498493929656</v>
      </c>
      <c r="T648" s="3">
        <v>22858.187342518147</v>
      </c>
      <c r="U648" s="3">
        <v>19264.872937561493</v>
      </c>
      <c r="V648" s="3">
        <v>134548.35456461826</v>
      </c>
      <c r="W648" s="3">
        <v>0</v>
      </c>
      <c r="X648" s="3">
        <v>79191.287185184061</v>
      </c>
      <c r="Y648" s="3">
        <v>0</v>
      </c>
      <c r="Z648" s="3">
        <v>18317.371844786354</v>
      </c>
      <c r="AA648" s="3">
        <v>-18317.371844786354</v>
      </c>
      <c r="AB648" s="3">
        <v>0</v>
      </c>
      <c r="AC648" s="3">
        <v>6872.5579415485663</v>
      </c>
      <c r="AD648" s="3">
        <v>-6872.5579415485663</v>
      </c>
      <c r="AE648" s="3">
        <v>54001.357398849148</v>
      </c>
      <c r="AF648" s="3">
        <v>0</v>
      </c>
      <c r="AG648" s="3">
        <v>54001.357398849148</v>
      </c>
      <c r="AH648" s="3">
        <v>54001.357398849148</v>
      </c>
      <c r="AI648" s="3">
        <v>0</v>
      </c>
      <c r="AJ648" s="3">
        <v>0</v>
      </c>
    </row>
    <row r="649" spans="1:36" x14ac:dyDescent="0.2">
      <c r="A649" s="3" t="s">
        <v>36</v>
      </c>
      <c r="B649" s="3" t="s">
        <v>37</v>
      </c>
      <c r="C649" s="3" t="s">
        <v>108</v>
      </c>
      <c r="D649" s="3">
        <v>1</v>
      </c>
      <c r="E649" s="3">
        <v>2023</v>
      </c>
      <c r="F649" s="3">
        <v>1</v>
      </c>
      <c r="G649" s="3" t="s">
        <v>48</v>
      </c>
      <c r="H649" s="3" t="s">
        <v>46</v>
      </c>
      <c r="I649" s="5">
        <v>1189590</v>
      </c>
      <c r="J649" s="3">
        <v>0</v>
      </c>
      <c r="K649" s="3">
        <v>1189590</v>
      </c>
      <c r="L649" s="3">
        <v>794547.75</v>
      </c>
      <c r="M649" s="3">
        <v>395042.25</v>
      </c>
      <c r="N649" s="3">
        <v>133572.1842493155</v>
      </c>
      <c r="O649" s="3">
        <f t="shared" si="11"/>
        <v>11.228421914215444</v>
      </c>
      <c r="P649" s="3">
        <v>0</v>
      </c>
      <c r="Q649" s="3">
        <v>59216.31894090632</v>
      </c>
      <c r="R649" s="3">
        <v>14398.818172982339</v>
      </c>
      <c r="S649" s="3">
        <v>9401.9948624947174</v>
      </c>
      <c r="T649" s="3">
        <v>7746.80038249876</v>
      </c>
      <c r="U649" s="3">
        <v>37826.219993691513</v>
      </c>
      <c r="V649" s="3">
        <v>4982.0318967418407</v>
      </c>
      <c r="W649" s="3">
        <v>0</v>
      </c>
      <c r="X649" s="3">
        <v>261470.06575068456</v>
      </c>
      <c r="Y649" s="3">
        <v>0</v>
      </c>
      <c r="Z649" s="3">
        <v>28959.091372158247</v>
      </c>
      <c r="AA649" s="3">
        <v>-28959.091372158247</v>
      </c>
      <c r="AB649" s="3">
        <v>0</v>
      </c>
      <c r="AC649" s="3">
        <v>8466.7316632619113</v>
      </c>
      <c r="AD649" s="3">
        <v>-8466.7316632619113</v>
      </c>
      <c r="AE649" s="3">
        <v>224044.24271526441</v>
      </c>
      <c r="AF649" s="3">
        <v>0</v>
      </c>
      <c r="AG649" s="3">
        <v>224044.24271526441</v>
      </c>
      <c r="AH649" s="3">
        <v>224044.24271526441</v>
      </c>
      <c r="AI649" s="3">
        <v>0</v>
      </c>
      <c r="AJ649" s="3">
        <v>0</v>
      </c>
    </row>
    <row r="650" spans="1:36" x14ac:dyDescent="0.2">
      <c r="A650" s="3" t="s">
        <v>36</v>
      </c>
      <c r="B650" s="3" t="s">
        <v>37</v>
      </c>
      <c r="C650" s="3" t="s">
        <v>108</v>
      </c>
      <c r="D650" s="3">
        <v>1</v>
      </c>
      <c r="E650" s="3">
        <v>2023</v>
      </c>
      <c r="F650" s="3">
        <v>1</v>
      </c>
      <c r="G650" s="3" t="s">
        <v>42</v>
      </c>
      <c r="H650" s="3" t="s">
        <v>46</v>
      </c>
      <c r="I650" s="5">
        <v>1540968</v>
      </c>
      <c r="J650" s="3">
        <v>290236.69999999995</v>
      </c>
      <c r="K650" s="3">
        <v>1250731.3</v>
      </c>
      <c r="L650" s="3">
        <v>486167.96800000005</v>
      </c>
      <c r="M650" s="3">
        <v>764563.33200000005</v>
      </c>
      <c r="N650" s="3">
        <v>76456.333199999994</v>
      </c>
      <c r="O650" s="3">
        <f t="shared" si="11"/>
        <v>6.1129303472296561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76456.333199999994</v>
      </c>
      <c r="V650" s="3">
        <v>0</v>
      </c>
      <c r="W650" s="3">
        <v>0</v>
      </c>
      <c r="X650" s="3">
        <v>688106.99880000018</v>
      </c>
      <c r="Y650" s="3">
        <v>0</v>
      </c>
      <c r="Z650" s="3">
        <v>22302.003397361132</v>
      </c>
      <c r="AA650" s="3">
        <v>-22302.003397361132</v>
      </c>
      <c r="AB650" s="3">
        <v>0</v>
      </c>
      <c r="AC650" s="3">
        <v>0</v>
      </c>
      <c r="AD650" s="3">
        <v>0</v>
      </c>
      <c r="AE650" s="3">
        <v>665804.99540263892</v>
      </c>
      <c r="AF650" s="3">
        <v>0</v>
      </c>
      <c r="AG650" s="3">
        <v>665804.99540263892</v>
      </c>
      <c r="AH650" s="3">
        <v>665804.99540263892</v>
      </c>
      <c r="AI650" s="3">
        <v>0</v>
      </c>
      <c r="AJ650" s="3">
        <v>390</v>
      </c>
    </row>
    <row r="651" spans="1:36" x14ac:dyDescent="0.2">
      <c r="A651" s="3" t="s">
        <v>36</v>
      </c>
      <c r="B651" s="3" t="s">
        <v>37</v>
      </c>
      <c r="C651" s="3" t="s">
        <v>108</v>
      </c>
      <c r="D651" s="3">
        <v>2</v>
      </c>
      <c r="E651" s="3">
        <v>2023</v>
      </c>
      <c r="F651" s="3">
        <v>1</v>
      </c>
      <c r="G651" s="3" t="s">
        <v>42</v>
      </c>
      <c r="H651" s="3" t="s">
        <v>46</v>
      </c>
      <c r="I651" s="5">
        <v>1744920</v>
      </c>
      <c r="J651" s="3">
        <v>242445</v>
      </c>
      <c r="K651" s="3">
        <v>1502475</v>
      </c>
      <c r="L651" s="3">
        <v>1046952</v>
      </c>
      <c r="M651" s="3">
        <v>455523</v>
      </c>
      <c r="N651" s="3">
        <v>45552.299999999996</v>
      </c>
      <c r="O651" s="3">
        <f t="shared" si="11"/>
        <v>3.0318175011231467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45552.299999999996</v>
      </c>
      <c r="V651" s="3">
        <v>0</v>
      </c>
      <c r="W651" s="3">
        <v>0</v>
      </c>
      <c r="X651" s="3">
        <v>409970.7</v>
      </c>
      <c r="Y651" s="3">
        <v>0</v>
      </c>
      <c r="Z651" s="3">
        <v>25733.080843109001</v>
      </c>
      <c r="AA651" s="3">
        <v>-25733.080843109001</v>
      </c>
      <c r="AB651" s="3">
        <v>0</v>
      </c>
      <c r="AC651" s="3">
        <v>0</v>
      </c>
      <c r="AD651" s="3">
        <v>0</v>
      </c>
      <c r="AE651" s="3">
        <v>384237.61915689096</v>
      </c>
      <c r="AF651" s="3">
        <v>0</v>
      </c>
      <c r="AG651" s="3">
        <v>384237.61915689096</v>
      </c>
      <c r="AH651" s="3">
        <v>384237.61915689096</v>
      </c>
      <c r="AI651" s="3">
        <v>0</v>
      </c>
      <c r="AJ651" s="3">
        <v>0</v>
      </c>
    </row>
    <row r="652" spans="1:36" x14ac:dyDescent="0.2">
      <c r="A652" s="3" t="s">
        <v>36</v>
      </c>
      <c r="B652" s="3" t="s">
        <v>37</v>
      </c>
      <c r="C652" s="3" t="s">
        <v>108</v>
      </c>
      <c r="D652" s="3">
        <v>2</v>
      </c>
      <c r="E652" s="3">
        <v>2023</v>
      </c>
      <c r="F652" s="3">
        <v>1</v>
      </c>
      <c r="G652" s="3" t="s">
        <v>48</v>
      </c>
      <c r="H652" s="3" t="s">
        <v>46</v>
      </c>
      <c r="I652" s="5">
        <v>1972608.5</v>
      </c>
      <c r="J652" s="3">
        <v>0</v>
      </c>
      <c r="K652" s="3">
        <v>1972608.5</v>
      </c>
      <c r="L652" s="3">
        <v>1325429.588</v>
      </c>
      <c r="M652" s="3">
        <v>647178.91200000001</v>
      </c>
      <c r="N652" s="3">
        <v>133067.28138138185</v>
      </c>
      <c r="O652" s="3">
        <f t="shared" si="11"/>
        <v>6.7457522048283707</v>
      </c>
      <c r="P652" s="3">
        <v>0</v>
      </c>
      <c r="Q652" s="3">
        <v>37503.668662573997</v>
      </c>
      <c r="R652" s="3">
        <v>17768.208995654324</v>
      </c>
      <c r="S652" s="3">
        <v>10792.019761048594</v>
      </c>
      <c r="T652" s="3">
        <v>20317.64536704652</v>
      </c>
      <c r="U652" s="3">
        <v>43418.585058593948</v>
      </c>
      <c r="V652" s="3">
        <v>3267.1535364644742</v>
      </c>
      <c r="W652" s="3">
        <v>0</v>
      </c>
      <c r="X652" s="3">
        <v>514111.63061861816</v>
      </c>
      <c r="Y652" s="3">
        <v>0</v>
      </c>
      <c r="Z652" s="3">
        <v>18085.03545902322</v>
      </c>
      <c r="AA652" s="3">
        <v>-18085.03545902322</v>
      </c>
      <c r="AB652" s="3">
        <v>0</v>
      </c>
      <c r="AC652" s="3">
        <v>11422.558180862523</v>
      </c>
      <c r="AD652" s="3">
        <v>-11422.558180862523</v>
      </c>
      <c r="AE652" s="3">
        <v>484604.03697873233</v>
      </c>
      <c r="AF652" s="3">
        <v>0</v>
      </c>
      <c r="AG652" s="3">
        <v>484604.03697873233</v>
      </c>
      <c r="AH652" s="3">
        <v>484604.03697873233</v>
      </c>
      <c r="AI652" s="3">
        <v>0</v>
      </c>
      <c r="AJ652" s="3">
        <v>0</v>
      </c>
    </row>
    <row r="653" spans="1:36" x14ac:dyDescent="0.2">
      <c r="A653" s="3" t="s">
        <v>36</v>
      </c>
      <c r="B653" s="3" t="s">
        <v>37</v>
      </c>
      <c r="C653" s="3" t="s">
        <v>109</v>
      </c>
      <c r="D653" s="3">
        <v>3</v>
      </c>
      <c r="E653" s="3">
        <v>2023</v>
      </c>
      <c r="F653" s="3">
        <v>1</v>
      </c>
      <c r="G653" s="3" t="s">
        <v>48</v>
      </c>
      <c r="H653" s="3" t="s">
        <v>46</v>
      </c>
      <c r="I653" s="5">
        <v>30324996</v>
      </c>
      <c r="J653" s="3">
        <v>2228634.2000000002</v>
      </c>
      <c r="K653" s="3">
        <v>28096361.800000001</v>
      </c>
      <c r="L653" s="3">
        <v>18807301.226999998</v>
      </c>
      <c r="M653" s="3">
        <v>9289060.5730000008</v>
      </c>
      <c r="N653" s="3">
        <v>7617192.6661723647</v>
      </c>
      <c r="O653" s="3">
        <f t="shared" si="11"/>
        <v>27.110957355953342</v>
      </c>
      <c r="P653" s="3">
        <v>2911265.4869999997</v>
      </c>
      <c r="Q653" s="3">
        <v>754352.03281922662</v>
      </c>
      <c r="R653" s="3">
        <v>1421922.9521885898</v>
      </c>
      <c r="S653" s="3">
        <v>568333.63980223797</v>
      </c>
      <c r="T653" s="3">
        <v>917451.70078498288</v>
      </c>
      <c r="U653" s="3">
        <v>773227.99822784541</v>
      </c>
      <c r="V653" s="3">
        <v>270638.85534948227</v>
      </c>
      <c r="W653" s="3">
        <v>0</v>
      </c>
      <c r="X653" s="3">
        <v>1671867.9068276368</v>
      </c>
      <c r="Y653" s="3">
        <v>0</v>
      </c>
      <c r="Z653" s="3">
        <v>915759.9709412154</v>
      </c>
      <c r="AA653" s="3">
        <v>-915759.9709412154</v>
      </c>
      <c r="AB653" s="3">
        <v>0</v>
      </c>
      <c r="AC653" s="3">
        <v>275841.64385986974</v>
      </c>
      <c r="AD653" s="3">
        <v>-275841.64385986974</v>
      </c>
      <c r="AE653" s="3">
        <v>480266.29202655121</v>
      </c>
      <c r="AF653" s="3">
        <v>0</v>
      </c>
      <c r="AG653" s="3">
        <v>480266.29202655121</v>
      </c>
      <c r="AH653" s="3">
        <v>480266.29202655121</v>
      </c>
      <c r="AI653" s="3">
        <v>26650000</v>
      </c>
      <c r="AJ653" s="3">
        <v>3464500</v>
      </c>
    </row>
    <row r="654" spans="1:36" x14ac:dyDescent="0.2">
      <c r="A654" s="3" t="s">
        <v>36</v>
      </c>
      <c r="B654" s="3" t="s">
        <v>37</v>
      </c>
      <c r="C654" s="3" t="s">
        <v>109</v>
      </c>
      <c r="D654" s="3">
        <v>1</v>
      </c>
      <c r="E654" s="3">
        <v>2023</v>
      </c>
      <c r="F654" s="3">
        <v>1</v>
      </c>
      <c r="G654" s="3" t="s">
        <v>48</v>
      </c>
      <c r="H654" s="3" t="s">
        <v>46</v>
      </c>
      <c r="I654" s="5">
        <v>41287500</v>
      </c>
      <c r="J654" s="3">
        <v>1201033.8</v>
      </c>
      <c r="K654" s="3">
        <v>40086466.200000003</v>
      </c>
      <c r="L654" s="3">
        <v>26732680.128000002</v>
      </c>
      <c r="M654" s="3">
        <v>13353786.072000001</v>
      </c>
      <c r="N654" s="3">
        <v>8893983.4864963796</v>
      </c>
      <c r="O654" s="3">
        <f t="shared" si="11"/>
        <v>22.18699808090437</v>
      </c>
      <c r="P654" s="3">
        <v>4030982.9819999998</v>
      </c>
      <c r="Q654" s="3">
        <v>1044487.4300573905</v>
      </c>
      <c r="R654" s="3">
        <v>1080677.1793392764</v>
      </c>
      <c r="S654" s="3">
        <v>419908.64450708148</v>
      </c>
      <c r="T654" s="3">
        <v>268870.80489279289</v>
      </c>
      <c r="U654" s="3">
        <v>1312847.3322653505</v>
      </c>
      <c r="V654" s="3">
        <v>736209.11343448865</v>
      </c>
      <c r="W654" s="3">
        <v>0</v>
      </c>
      <c r="X654" s="3">
        <v>4459802.585503621</v>
      </c>
      <c r="Y654" s="3">
        <v>0</v>
      </c>
      <c r="Z654" s="3">
        <v>554145.09552840679</v>
      </c>
      <c r="AA654" s="3">
        <v>-554145.09552840679</v>
      </c>
      <c r="AB654" s="3">
        <v>0</v>
      </c>
      <c r="AC654" s="3">
        <v>293857.70185267722</v>
      </c>
      <c r="AD654" s="3">
        <v>-293857.70185267722</v>
      </c>
      <c r="AE654" s="3">
        <v>3611799.7881225361</v>
      </c>
      <c r="AF654" s="3">
        <v>0</v>
      </c>
      <c r="AG654" s="3">
        <v>3611799.7881225361</v>
      </c>
      <c r="AH654" s="3">
        <v>3611799.7881225361</v>
      </c>
      <c r="AI654" s="3">
        <v>45000000</v>
      </c>
      <c r="AJ654" s="3">
        <v>5850000</v>
      </c>
    </row>
    <row r="655" spans="1:36" x14ac:dyDescent="0.2">
      <c r="A655" s="3" t="s">
        <v>36</v>
      </c>
      <c r="B655" s="3" t="s">
        <v>37</v>
      </c>
      <c r="C655" s="3" t="s">
        <v>109</v>
      </c>
      <c r="D655" s="3">
        <v>2</v>
      </c>
      <c r="E655" s="3">
        <v>2023</v>
      </c>
      <c r="F655" s="3">
        <v>1</v>
      </c>
      <c r="G655" s="3" t="s">
        <v>48</v>
      </c>
      <c r="H655" s="3" t="s">
        <v>46</v>
      </c>
      <c r="I655" s="5">
        <v>92758071</v>
      </c>
      <c r="J655" s="3">
        <v>3819870.6</v>
      </c>
      <c r="K655" s="3">
        <v>88938200.399999991</v>
      </c>
      <c r="L655" s="3">
        <v>59033938.866000012</v>
      </c>
      <c r="M655" s="3">
        <v>29904261.534000002</v>
      </c>
      <c r="N655" s="3">
        <v>11930472.486934688</v>
      </c>
      <c r="O655" s="3">
        <f t="shared" si="11"/>
        <v>13.414339882387241</v>
      </c>
      <c r="P655" s="3">
        <v>4702813.4790000003</v>
      </c>
      <c r="Q655" s="3">
        <v>1218568.668400289</v>
      </c>
      <c r="R655" s="3">
        <v>1509241.6772172109</v>
      </c>
      <c r="S655" s="3">
        <v>616662.55703668331</v>
      </c>
      <c r="T655" s="3">
        <v>955397.68357954547</v>
      </c>
      <c r="U655" s="3">
        <v>2041674.3594000516</v>
      </c>
      <c r="V655" s="3">
        <v>886114.06230090954</v>
      </c>
      <c r="W655" s="3">
        <v>0</v>
      </c>
      <c r="X655" s="3">
        <v>17973789.04706531</v>
      </c>
      <c r="Y655" s="3">
        <v>0</v>
      </c>
      <c r="Z655" s="3">
        <v>695829.34699377336</v>
      </c>
      <c r="AA655" s="3">
        <v>-695829.34699377336</v>
      </c>
      <c r="AB655" s="3">
        <v>0</v>
      </c>
      <c r="AC655" s="3">
        <v>537123.5411091845</v>
      </c>
      <c r="AD655" s="3">
        <v>-537123.5411091845</v>
      </c>
      <c r="AE655" s="3">
        <v>16740836.158962352</v>
      </c>
      <c r="AF655" s="3">
        <v>0</v>
      </c>
      <c r="AG655" s="3">
        <v>16740836.158962352</v>
      </c>
      <c r="AH655" s="3">
        <v>16740836.158962352</v>
      </c>
      <c r="AI655" s="3">
        <v>73500000</v>
      </c>
      <c r="AJ655" s="3">
        <v>9555000</v>
      </c>
    </row>
    <row r="656" spans="1:36" x14ac:dyDescent="0.2">
      <c r="A656" s="3" t="s">
        <v>36</v>
      </c>
      <c r="B656" s="3" t="s">
        <v>37</v>
      </c>
      <c r="C656" s="3" t="s">
        <v>110</v>
      </c>
      <c r="D656" s="3">
        <v>3</v>
      </c>
      <c r="E656" s="3">
        <v>2023</v>
      </c>
      <c r="F656" s="3">
        <v>1</v>
      </c>
      <c r="G656" s="3" t="s">
        <v>48</v>
      </c>
      <c r="H656" s="3" t="s">
        <v>46</v>
      </c>
      <c r="I656" s="5">
        <v>28672106.482999995</v>
      </c>
      <c r="J656" s="3">
        <v>1734079.8829999997</v>
      </c>
      <c r="K656" s="3">
        <v>26938026.600000001</v>
      </c>
      <c r="L656" s="3">
        <v>16549190.276999999</v>
      </c>
      <c r="M656" s="3">
        <v>10388836.322999999</v>
      </c>
      <c r="N656" s="3">
        <v>8350285.8169709612</v>
      </c>
      <c r="O656" s="3">
        <f t="shared" si="11"/>
        <v>30.998134870692272</v>
      </c>
      <c r="P656" s="3">
        <v>3194636.4937499999</v>
      </c>
      <c r="Q656" s="3">
        <v>705101.71493726759</v>
      </c>
      <c r="R656" s="3">
        <v>1672377.1195625504</v>
      </c>
      <c r="S656" s="3">
        <v>660090.31361713749</v>
      </c>
      <c r="T656" s="3">
        <v>867445.22102876729</v>
      </c>
      <c r="U656" s="3">
        <v>731082.55317909073</v>
      </c>
      <c r="V656" s="3">
        <v>519552.40089614695</v>
      </c>
      <c r="W656" s="3">
        <v>0</v>
      </c>
      <c r="X656" s="3">
        <v>2038550.5060290387</v>
      </c>
      <c r="Y656" s="3">
        <v>0</v>
      </c>
      <c r="Z656" s="3">
        <v>434164.02101709822</v>
      </c>
      <c r="AA656" s="3">
        <v>-434164.02101709822</v>
      </c>
      <c r="AB656" s="3">
        <v>0</v>
      </c>
      <c r="AC656" s="3">
        <v>260806.66210791739</v>
      </c>
      <c r="AD656" s="3">
        <v>-260806.66210791739</v>
      </c>
      <c r="AE656" s="3">
        <v>1343579.8229040231</v>
      </c>
      <c r="AF656" s="3">
        <v>0</v>
      </c>
      <c r="AG656" s="3">
        <v>1343579.8229040231</v>
      </c>
      <c r="AH656" s="3">
        <v>1343579.8229040231</v>
      </c>
      <c r="AI656" s="3">
        <v>30600000</v>
      </c>
      <c r="AJ656" s="3">
        <v>4590000</v>
      </c>
    </row>
    <row r="657" spans="1:36" x14ac:dyDescent="0.2">
      <c r="A657" s="3" t="s">
        <v>36</v>
      </c>
      <c r="B657" s="3" t="s">
        <v>37</v>
      </c>
      <c r="C657" s="3" t="s">
        <v>110</v>
      </c>
      <c r="D657" s="3">
        <v>1</v>
      </c>
      <c r="E657" s="3">
        <v>2023</v>
      </c>
      <c r="F657" s="3">
        <v>1</v>
      </c>
      <c r="G657" s="3" t="s">
        <v>48</v>
      </c>
      <c r="H657" s="3" t="s">
        <v>46</v>
      </c>
      <c r="I657" s="5">
        <v>29562246.103999995</v>
      </c>
      <c r="J657" s="3">
        <v>837454.08100000001</v>
      </c>
      <c r="K657" s="3">
        <v>28724792.022999994</v>
      </c>
      <c r="L657" s="3">
        <v>16780787.142999999</v>
      </c>
      <c r="M657" s="3">
        <v>11944004.879999999</v>
      </c>
      <c r="N657" s="3">
        <v>9770163.638871409</v>
      </c>
      <c r="O657" s="3">
        <f t="shared" si="11"/>
        <v>34.013000445915921</v>
      </c>
      <c r="P657" s="3">
        <v>4322155.2562499996</v>
      </c>
      <c r="Q657" s="3">
        <v>953961.14373865665</v>
      </c>
      <c r="R657" s="3">
        <v>1933894.0102355126</v>
      </c>
      <c r="S657" s="3">
        <v>478347.89364273072</v>
      </c>
      <c r="T657" s="3">
        <v>192514.0757958538</v>
      </c>
      <c r="U657" s="3">
        <v>940011.28509617061</v>
      </c>
      <c r="V657" s="3">
        <v>949279.97411248402</v>
      </c>
      <c r="W657" s="3">
        <v>0</v>
      </c>
      <c r="X657" s="3">
        <v>2173841.2411285904</v>
      </c>
      <c r="Y657" s="3">
        <v>0</v>
      </c>
      <c r="Z657" s="3">
        <v>198192.06120763073</v>
      </c>
      <c r="AA657" s="3">
        <v>-198192.06120763073</v>
      </c>
      <c r="AB657" s="3">
        <v>0</v>
      </c>
      <c r="AC657" s="3">
        <v>210404.93373841234</v>
      </c>
      <c r="AD657" s="3">
        <v>-210404.93373841234</v>
      </c>
      <c r="AE657" s="3">
        <v>1765244.2461825479</v>
      </c>
      <c r="AF657" s="3">
        <v>0</v>
      </c>
      <c r="AG657" s="3">
        <v>1765244.2461825479</v>
      </c>
      <c r="AH657" s="3">
        <v>1765244.2461825479</v>
      </c>
      <c r="AI657" s="3">
        <v>50600000</v>
      </c>
      <c r="AJ657" s="3">
        <v>7590000</v>
      </c>
    </row>
    <row r="658" spans="1:36" x14ac:dyDescent="0.2">
      <c r="A658" s="3" t="s">
        <v>36</v>
      </c>
      <c r="B658" s="3" t="s">
        <v>37</v>
      </c>
      <c r="C658" s="3" t="s">
        <v>110</v>
      </c>
      <c r="D658" s="3">
        <v>2</v>
      </c>
      <c r="E658" s="3">
        <v>2023</v>
      </c>
      <c r="F658" s="3">
        <v>1</v>
      </c>
      <c r="G658" s="3" t="s">
        <v>48</v>
      </c>
      <c r="H658" s="3" t="s">
        <v>46</v>
      </c>
      <c r="I658" s="5">
        <v>126890881.26000001</v>
      </c>
      <c r="J658" s="3">
        <v>8248774.5600000005</v>
      </c>
      <c r="K658" s="3">
        <v>118642106.7</v>
      </c>
      <c r="L658" s="3">
        <v>75806082.599999994</v>
      </c>
      <c r="M658" s="3">
        <v>42836024.100000001</v>
      </c>
      <c r="N658" s="3">
        <v>17048113.572098799</v>
      </c>
      <c r="O658" s="3">
        <f t="shared" si="11"/>
        <v>14.369361811154352</v>
      </c>
      <c r="P658" s="3">
        <v>5637593.8125</v>
      </c>
      <c r="Q658" s="3">
        <v>1244297.1440069438</v>
      </c>
      <c r="R658" s="3">
        <v>3742038.577021366</v>
      </c>
      <c r="S658" s="3">
        <v>1013387.3379479451</v>
      </c>
      <c r="T658" s="3">
        <v>1306961.7847396932</v>
      </c>
      <c r="U658" s="3">
        <v>2792962.9833528837</v>
      </c>
      <c r="V658" s="3">
        <v>1310871.9325299673</v>
      </c>
      <c r="W658" s="3">
        <v>0</v>
      </c>
      <c r="X658" s="3">
        <v>25787910.527901202</v>
      </c>
      <c r="Y658" s="3">
        <v>0</v>
      </c>
      <c r="Z658" s="3">
        <v>291171.29088149557</v>
      </c>
      <c r="AA658" s="3">
        <v>-291171.29088149557</v>
      </c>
      <c r="AB658" s="3">
        <v>0</v>
      </c>
      <c r="AC658" s="3">
        <v>734772.49733703781</v>
      </c>
      <c r="AD658" s="3">
        <v>-734772.49733703781</v>
      </c>
      <c r="AE658" s="3">
        <v>24761966.739682671</v>
      </c>
      <c r="AF658" s="3">
        <v>0</v>
      </c>
      <c r="AG658" s="3">
        <v>24761966.739682671</v>
      </c>
      <c r="AH658" s="3">
        <v>24761966.739682671</v>
      </c>
      <c r="AI658" s="3">
        <v>96000000</v>
      </c>
      <c r="AJ658" s="3">
        <v>14400000</v>
      </c>
    </row>
    <row r="659" spans="1:36" x14ac:dyDescent="0.2">
      <c r="A659" s="3" t="s">
        <v>36</v>
      </c>
      <c r="B659" s="3" t="s">
        <v>37</v>
      </c>
      <c r="C659" s="3" t="s">
        <v>111</v>
      </c>
      <c r="D659" s="3">
        <v>3</v>
      </c>
      <c r="E659" s="3">
        <v>2023</v>
      </c>
      <c r="F659" s="3">
        <v>1</v>
      </c>
      <c r="G659" s="3" t="s">
        <v>48</v>
      </c>
      <c r="H659" s="3" t="s">
        <v>46</v>
      </c>
      <c r="I659" s="5">
        <v>107376379</v>
      </c>
      <c r="J659" s="3">
        <v>6597221.4000000004</v>
      </c>
      <c r="K659" s="3">
        <v>100779157.59999999</v>
      </c>
      <c r="L659" s="3">
        <v>64889463.506999999</v>
      </c>
      <c r="M659" s="3">
        <v>35889694.093000002</v>
      </c>
      <c r="N659" s="3">
        <v>15088729.565664006</v>
      </c>
      <c r="O659" s="3">
        <f t="shared" si="11"/>
        <v>14.972073516978879</v>
      </c>
      <c r="P659" s="3">
        <v>2645533.1402500002</v>
      </c>
      <c r="Q659" s="3">
        <v>938927.36907661357</v>
      </c>
      <c r="R659" s="3">
        <v>3167926.3353728838</v>
      </c>
      <c r="S659" s="3">
        <v>1528412.3068896329</v>
      </c>
      <c r="T659" s="3">
        <v>3248562.3918197034</v>
      </c>
      <c r="U659" s="3">
        <v>2737887.33858776</v>
      </c>
      <c r="V659" s="3">
        <v>821480.68366741051</v>
      </c>
      <c r="W659" s="3">
        <v>0</v>
      </c>
      <c r="X659" s="3">
        <v>20800964.527335994</v>
      </c>
      <c r="Y659" s="3">
        <v>0</v>
      </c>
      <c r="Z659" s="3">
        <v>4258054.2394514205</v>
      </c>
      <c r="AA659" s="3">
        <v>-4258054.2394514205</v>
      </c>
      <c r="AB659" s="3">
        <v>0</v>
      </c>
      <c r="AC659" s="3">
        <v>976714.94812663435</v>
      </c>
      <c r="AD659" s="3">
        <v>-976714.94812663435</v>
      </c>
      <c r="AE659" s="3">
        <v>15566195.339757942</v>
      </c>
      <c r="AF659" s="3">
        <v>0</v>
      </c>
      <c r="AG659" s="3">
        <v>15566195.339757942</v>
      </c>
      <c r="AH659" s="3">
        <v>15566195.339757942</v>
      </c>
      <c r="AI659" s="3">
        <v>159500000.00000003</v>
      </c>
      <c r="AJ659" s="3">
        <v>15950000.000000002</v>
      </c>
    </row>
    <row r="660" spans="1:36" x14ac:dyDescent="0.2">
      <c r="A660" s="3" t="s">
        <v>36</v>
      </c>
      <c r="B660" s="3" t="s">
        <v>37</v>
      </c>
      <c r="C660" s="3" t="s">
        <v>111</v>
      </c>
      <c r="D660" s="3">
        <v>2</v>
      </c>
      <c r="E660" s="3">
        <v>2023</v>
      </c>
      <c r="F660" s="3">
        <v>1</v>
      </c>
      <c r="G660" s="3" t="s">
        <v>48</v>
      </c>
      <c r="H660" s="3" t="s">
        <v>46</v>
      </c>
      <c r="I660" s="5">
        <v>170782777.00000003</v>
      </c>
      <c r="J660" s="3">
        <v>8467042.4300000016</v>
      </c>
      <c r="K660" s="3">
        <v>162315734.57000002</v>
      </c>
      <c r="L660" s="3">
        <v>112026350.546</v>
      </c>
      <c r="M660" s="3">
        <v>50289384.024000011</v>
      </c>
      <c r="N660" s="3">
        <v>14418388.17378974</v>
      </c>
      <c r="O660" s="3">
        <f t="shared" si="11"/>
        <v>8.8829269768493635</v>
      </c>
      <c r="P660" s="3">
        <v>2645533.1402500002</v>
      </c>
      <c r="Q660" s="3">
        <v>938927.36907661357</v>
      </c>
      <c r="R660" s="3">
        <v>2489469.6317828558</v>
      </c>
      <c r="S660" s="3">
        <v>1023581.6344415406</v>
      </c>
      <c r="T660" s="3">
        <v>1759043.3671381776</v>
      </c>
      <c r="U660" s="3">
        <v>3759056.3610150642</v>
      </c>
      <c r="V660" s="3">
        <v>1802776.6700854877</v>
      </c>
      <c r="W660" s="3">
        <v>0</v>
      </c>
      <c r="X660" s="3">
        <v>35870995.850210264</v>
      </c>
      <c r="Y660" s="3">
        <v>0</v>
      </c>
      <c r="Z660" s="3">
        <v>1969759.8411018266</v>
      </c>
      <c r="AA660" s="3">
        <v>-1969759.8411018266</v>
      </c>
      <c r="AB660" s="3">
        <v>0</v>
      </c>
      <c r="AC660" s="3">
        <v>988932.27245637961</v>
      </c>
      <c r="AD660" s="3">
        <v>-988932.27245637961</v>
      </c>
      <c r="AE660" s="3">
        <v>32912303.736652065</v>
      </c>
      <c r="AF660" s="3">
        <v>0</v>
      </c>
      <c r="AG660" s="3">
        <v>32912303.736652065</v>
      </c>
      <c r="AH660" s="3">
        <v>32912303.736652065</v>
      </c>
      <c r="AI660" s="3">
        <v>160600000.00000003</v>
      </c>
      <c r="AJ660" s="3">
        <v>16060000.000000002</v>
      </c>
    </row>
    <row r="661" spans="1:36" x14ac:dyDescent="0.2">
      <c r="A661" s="3" t="s">
        <v>36</v>
      </c>
      <c r="B661" s="3" t="s">
        <v>37</v>
      </c>
      <c r="C661" s="3" t="s">
        <v>111</v>
      </c>
      <c r="D661" s="3">
        <v>1</v>
      </c>
      <c r="E661" s="3">
        <v>2023</v>
      </c>
      <c r="F661" s="3">
        <v>1</v>
      </c>
      <c r="G661" s="3" t="s">
        <v>48</v>
      </c>
      <c r="H661" s="3" t="s">
        <v>46</v>
      </c>
      <c r="I661" s="5">
        <v>306109914</v>
      </c>
      <c r="J661" s="3">
        <v>12762926</v>
      </c>
      <c r="K661" s="3">
        <v>293346988.00000006</v>
      </c>
      <c r="L661" s="3">
        <v>209049875.10000002</v>
      </c>
      <c r="M661" s="3">
        <v>84297112.900000006</v>
      </c>
      <c r="N661" s="3">
        <v>31057053.133826699</v>
      </c>
      <c r="O661" s="3">
        <f t="shared" si="11"/>
        <v>10.587138918851519</v>
      </c>
      <c r="P661" s="3">
        <v>5291066.2805000003</v>
      </c>
      <c r="Q661" s="3">
        <v>1877854.7381532271</v>
      </c>
      <c r="R661" s="3">
        <v>6074468.7511352906</v>
      </c>
      <c r="S661" s="3">
        <v>2597836.9284338495</v>
      </c>
      <c r="T661" s="3">
        <v>1993436.7293452891</v>
      </c>
      <c r="U661" s="3">
        <v>9733589.6814986579</v>
      </c>
      <c r="V661" s="3">
        <v>3488800.0247603818</v>
      </c>
      <c r="W661" s="3">
        <v>0</v>
      </c>
      <c r="X661" s="3">
        <v>53240059.766173318</v>
      </c>
      <c r="Y661" s="3">
        <v>0</v>
      </c>
      <c r="Z661" s="3">
        <v>3728207.6461049221</v>
      </c>
      <c r="AA661" s="3">
        <v>-3728207.6461049221</v>
      </c>
      <c r="AB661" s="3">
        <v>0</v>
      </c>
      <c r="AC661" s="3">
        <v>2178692.2395969885</v>
      </c>
      <c r="AD661" s="3">
        <v>-2178692.2395969885</v>
      </c>
      <c r="AE661" s="3">
        <v>47333159.880471386</v>
      </c>
      <c r="AF661" s="3">
        <v>0</v>
      </c>
      <c r="AG661" s="3">
        <v>47333159.880471386</v>
      </c>
      <c r="AH661" s="3">
        <v>47333159.880471386</v>
      </c>
      <c r="AI661" s="3">
        <v>266640000.00000003</v>
      </c>
      <c r="AJ661" s="3">
        <v>26664000</v>
      </c>
    </row>
    <row r="662" spans="1:36" x14ac:dyDescent="0.2">
      <c r="A662" s="3" t="s">
        <v>36</v>
      </c>
      <c r="B662" s="3" t="s">
        <v>37</v>
      </c>
      <c r="C662" s="3" t="s">
        <v>112</v>
      </c>
      <c r="D662" s="3">
        <v>2</v>
      </c>
      <c r="E662" s="3">
        <v>2023</v>
      </c>
      <c r="F662" s="3">
        <v>1</v>
      </c>
      <c r="G662" s="3" t="s">
        <v>48</v>
      </c>
      <c r="H662" s="3" t="s">
        <v>46</v>
      </c>
      <c r="I662" s="5">
        <v>3305376</v>
      </c>
      <c r="J662" s="3">
        <v>127275.23999999999</v>
      </c>
      <c r="K662" s="3">
        <v>3178100.76</v>
      </c>
      <c r="L662" s="3">
        <v>2216453.2079999996</v>
      </c>
      <c r="M662" s="3">
        <v>961647.55200000003</v>
      </c>
      <c r="N662" s="3">
        <v>239210.77033669961</v>
      </c>
      <c r="O662" s="3">
        <f t="shared" si="11"/>
        <v>7.5268466421026758</v>
      </c>
      <c r="P662" s="3">
        <v>0</v>
      </c>
      <c r="Q662" s="3">
        <v>46989.579771027646</v>
      </c>
      <c r="R662" s="3">
        <v>29773.070316395733</v>
      </c>
      <c r="S662" s="3">
        <v>18083.508770085784</v>
      </c>
      <c r="T662" s="3">
        <v>34045.000501998627</v>
      </c>
      <c r="U662" s="3">
        <v>72753.792253574415</v>
      </c>
      <c r="V662" s="3">
        <v>37565.818723617398</v>
      </c>
      <c r="W662" s="3">
        <v>0</v>
      </c>
      <c r="X662" s="3">
        <v>722436.78166330035</v>
      </c>
      <c r="Y662" s="3">
        <v>0</v>
      </c>
      <c r="Z662" s="3">
        <v>74106.715993790582</v>
      </c>
      <c r="AA662" s="3">
        <v>-74106.715993790582</v>
      </c>
      <c r="AB662" s="3">
        <v>0</v>
      </c>
      <c r="AC662" s="3">
        <v>19140.062343656453</v>
      </c>
      <c r="AD662" s="3">
        <v>-19140.062343656453</v>
      </c>
      <c r="AE662" s="3">
        <v>629190.00332585326</v>
      </c>
      <c r="AF662" s="3">
        <v>0</v>
      </c>
      <c r="AG662" s="3">
        <v>629190.00332585326</v>
      </c>
      <c r="AH662" s="3">
        <v>629190.00332585326</v>
      </c>
      <c r="AI662" s="3">
        <v>6600000</v>
      </c>
      <c r="AJ662" s="3">
        <v>6600</v>
      </c>
    </row>
    <row r="663" spans="1:36" x14ac:dyDescent="0.2">
      <c r="A663" s="3" t="s">
        <v>36</v>
      </c>
      <c r="B663" s="3" t="s">
        <v>37</v>
      </c>
      <c r="C663" s="3" t="s">
        <v>112</v>
      </c>
      <c r="D663" s="3">
        <v>3</v>
      </c>
      <c r="E663" s="3">
        <v>2023</v>
      </c>
      <c r="F663" s="3">
        <v>1</v>
      </c>
      <c r="G663" s="3" t="s">
        <v>48</v>
      </c>
      <c r="H663" s="3" t="s">
        <v>46</v>
      </c>
      <c r="I663" s="5">
        <v>4807852</v>
      </c>
      <c r="J663" s="3">
        <v>102645.20000000001</v>
      </c>
      <c r="K663" s="3">
        <v>4705206.7999999989</v>
      </c>
      <c r="L663" s="3">
        <v>3267173.4759999998</v>
      </c>
      <c r="M663" s="3">
        <v>1438033.3239999998</v>
      </c>
      <c r="N663" s="3">
        <v>559547.89501640527</v>
      </c>
      <c r="O663" s="3">
        <f t="shared" si="11"/>
        <v>11.892099939505432</v>
      </c>
      <c r="P663" s="3">
        <v>0</v>
      </c>
      <c r="Q663" s="3">
        <v>109642.35279906452</v>
      </c>
      <c r="R663" s="3">
        <v>96993.6904406088</v>
      </c>
      <c r="S663" s="3">
        <v>54998.231979577169</v>
      </c>
      <c r="T663" s="3">
        <v>145456.6389562749</v>
      </c>
      <c r="U663" s="3">
        <v>122590.80851109567</v>
      </c>
      <c r="V663" s="3">
        <v>29866.172329784076</v>
      </c>
      <c r="W663" s="3">
        <v>0</v>
      </c>
      <c r="X663" s="3">
        <v>878485.42898359476</v>
      </c>
      <c r="Y663" s="3">
        <v>0</v>
      </c>
      <c r="Z663" s="3">
        <v>172909.8998898633</v>
      </c>
      <c r="AA663" s="3">
        <v>-172909.8998898633</v>
      </c>
      <c r="AB663" s="3">
        <v>0</v>
      </c>
      <c r="AC663" s="3">
        <v>43733.090652838408</v>
      </c>
      <c r="AD663" s="3">
        <v>-43733.090652838408</v>
      </c>
      <c r="AE663" s="3">
        <v>661842.43844089308</v>
      </c>
      <c r="AF663" s="3">
        <v>0</v>
      </c>
      <c r="AG663" s="3">
        <v>661842.43844089308</v>
      </c>
      <c r="AH663" s="3">
        <v>661842.43844089308</v>
      </c>
      <c r="AI663" s="3">
        <v>11200000</v>
      </c>
      <c r="AJ663" s="3">
        <v>11200</v>
      </c>
    </row>
    <row r="664" spans="1:36" x14ac:dyDescent="0.2">
      <c r="A664" s="3" t="s">
        <v>36</v>
      </c>
      <c r="B664" s="3" t="s">
        <v>37</v>
      </c>
      <c r="C664" s="3" t="s">
        <v>112</v>
      </c>
      <c r="D664" s="3">
        <v>1</v>
      </c>
      <c r="E664" s="3">
        <v>2023</v>
      </c>
      <c r="F664" s="3">
        <v>1</v>
      </c>
      <c r="G664" s="3" t="s">
        <v>48</v>
      </c>
      <c r="H664" s="3" t="s">
        <v>46</v>
      </c>
      <c r="I664" s="5">
        <v>7201152</v>
      </c>
      <c r="J664" s="3">
        <v>0</v>
      </c>
      <c r="K664" s="3">
        <v>7201152</v>
      </c>
      <c r="L664" s="3">
        <v>4774853.3910000008</v>
      </c>
      <c r="M664" s="3">
        <v>2426298.6090000002</v>
      </c>
      <c r="N664" s="3">
        <v>568047.71211905044</v>
      </c>
      <c r="O664" s="3">
        <f t="shared" si="11"/>
        <v>7.8882894309000902</v>
      </c>
      <c r="P664" s="3">
        <v>0</v>
      </c>
      <c r="Q664" s="3">
        <v>82231.764599298403</v>
      </c>
      <c r="R664" s="3">
        <v>87162.869798845088</v>
      </c>
      <c r="S664" s="3">
        <v>56914.73037604853</v>
      </c>
      <c r="T664" s="3">
        <v>46895.053815206695</v>
      </c>
      <c r="U664" s="3">
        <v>228980.03493641646</v>
      </c>
      <c r="V664" s="3">
        <v>65863.25859323534</v>
      </c>
      <c r="W664" s="3">
        <v>0</v>
      </c>
      <c r="X664" s="3">
        <v>1858250.8968809498</v>
      </c>
      <c r="Y664" s="3">
        <v>0</v>
      </c>
      <c r="Z664" s="3">
        <v>122500.13387236922</v>
      </c>
      <c r="AA664" s="3">
        <v>-122500.13387236922</v>
      </c>
      <c r="AB664" s="3">
        <v>0</v>
      </c>
      <c r="AC664" s="3">
        <v>51253.139022992676</v>
      </c>
      <c r="AD664" s="3">
        <v>-51253.139022992676</v>
      </c>
      <c r="AE664" s="3">
        <v>1684497.6239855879</v>
      </c>
      <c r="AF664" s="3">
        <v>0</v>
      </c>
      <c r="AG664" s="3">
        <v>1684497.6239855879</v>
      </c>
      <c r="AH664" s="3">
        <v>1684497.6239855879</v>
      </c>
      <c r="AI664" s="3">
        <v>12390000</v>
      </c>
      <c r="AJ664" s="3">
        <v>12390</v>
      </c>
    </row>
    <row r="665" spans="1:36" x14ac:dyDescent="0.2">
      <c r="A665" s="3" t="s">
        <v>36</v>
      </c>
      <c r="B665" s="3" t="s">
        <v>65</v>
      </c>
      <c r="C665" s="3" t="s">
        <v>66</v>
      </c>
      <c r="D665" s="3">
        <v>1</v>
      </c>
      <c r="E665" s="3">
        <v>2023</v>
      </c>
      <c r="F665" s="3">
        <v>1</v>
      </c>
      <c r="G665" s="3" t="s">
        <v>42</v>
      </c>
      <c r="H665" s="3" t="s">
        <v>40</v>
      </c>
      <c r="I665" s="5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 t="e">
        <f t="shared" si="11"/>
        <v>#DIV/0!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</row>
    <row r="666" spans="1:36" x14ac:dyDescent="0.2">
      <c r="A666" s="3" t="s">
        <v>36</v>
      </c>
      <c r="B666" s="3" t="s">
        <v>65</v>
      </c>
      <c r="C666" s="3" t="s">
        <v>66</v>
      </c>
      <c r="D666" s="3">
        <v>1</v>
      </c>
      <c r="E666" s="3">
        <v>2023</v>
      </c>
      <c r="F666" s="3">
        <v>1</v>
      </c>
      <c r="G666" s="3" t="s">
        <v>48</v>
      </c>
      <c r="H666" s="3" t="s">
        <v>46</v>
      </c>
      <c r="I666" s="5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 t="e">
        <f t="shared" si="11"/>
        <v>#DIV/0!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</row>
    <row r="667" spans="1:36" x14ac:dyDescent="0.2">
      <c r="A667" s="3" t="s">
        <v>36</v>
      </c>
      <c r="B667" s="3" t="s">
        <v>65</v>
      </c>
      <c r="C667" s="3" t="s">
        <v>66</v>
      </c>
      <c r="D667" s="3">
        <v>2</v>
      </c>
      <c r="E667" s="3">
        <v>2023</v>
      </c>
      <c r="F667" s="3">
        <v>1</v>
      </c>
      <c r="G667" s="3" t="s">
        <v>42</v>
      </c>
      <c r="H667" s="3" t="s">
        <v>40</v>
      </c>
      <c r="I667" s="5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 t="e">
        <f t="shared" si="11"/>
        <v>#DIV/0!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</row>
    <row r="668" spans="1:36" x14ac:dyDescent="0.2">
      <c r="A668" s="3" t="s">
        <v>36</v>
      </c>
      <c r="B668" s="3" t="s">
        <v>65</v>
      </c>
      <c r="C668" s="3" t="s">
        <v>66</v>
      </c>
      <c r="D668" s="3">
        <v>2</v>
      </c>
      <c r="E668" s="3">
        <v>2023</v>
      </c>
      <c r="F668" s="3">
        <v>1</v>
      </c>
      <c r="G668" s="3" t="s">
        <v>48</v>
      </c>
      <c r="H668" s="3" t="s">
        <v>46</v>
      </c>
      <c r="I668" s="5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 t="e">
        <f t="shared" si="11"/>
        <v>#DIV/0!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</row>
    <row r="669" spans="1:36" x14ac:dyDescent="0.2">
      <c r="A669" s="3" t="s">
        <v>36</v>
      </c>
      <c r="B669" s="3" t="s">
        <v>65</v>
      </c>
      <c r="C669" s="3" t="s">
        <v>66</v>
      </c>
      <c r="D669" s="3">
        <v>3</v>
      </c>
      <c r="E669" s="3">
        <v>2023</v>
      </c>
      <c r="F669" s="3">
        <v>1</v>
      </c>
      <c r="G669" s="3" t="s">
        <v>42</v>
      </c>
      <c r="H669" s="3" t="s">
        <v>40</v>
      </c>
      <c r="I669" s="5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 t="e">
        <f t="shared" si="11"/>
        <v>#DIV/0!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</row>
    <row r="670" spans="1:36" x14ac:dyDescent="0.2">
      <c r="A670" s="3" t="s">
        <v>36</v>
      </c>
      <c r="B670" s="3" t="s">
        <v>65</v>
      </c>
      <c r="C670" s="3" t="s">
        <v>66</v>
      </c>
      <c r="D670" s="3">
        <v>3</v>
      </c>
      <c r="E670" s="3">
        <v>2023</v>
      </c>
      <c r="F670" s="3">
        <v>1</v>
      </c>
      <c r="G670" s="3" t="s">
        <v>48</v>
      </c>
      <c r="H670" s="3" t="s">
        <v>46</v>
      </c>
      <c r="I670" s="5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 t="e">
        <f t="shared" si="11"/>
        <v>#DIV/0!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</row>
    <row r="671" spans="1:36" x14ac:dyDescent="0.2">
      <c r="A671" s="3" t="s">
        <v>36</v>
      </c>
      <c r="B671" s="3" t="s">
        <v>65</v>
      </c>
      <c r="C671" s="3" t="s">
        <v>66</v>
      </c>
      <c r="D671" s="3">
        <v>3</v>
      </c>
      <c r="E671" s="3">
        <v>2023</v>
      </c>
      <c r="F671" s="3">
        <v>1</v>
      </c>
      <c r="G671" s="3" t="s">
        <v>42</v>
      </c>
      <c r="H671" s="3" t="s">
        <v>46</v>
      </c>
      <c r="I671" s="5">
        <v>534624</v>
      </c>
      <c r="J671" s="3">
        <v>70896</v>
      </c>
      <c r="K671" s="3">
        <v>463728</v>
      </c>
      <c r="L671" s="3">
        <v>320774.39999999997</v>
      </c>
      <c r="M671" s="3">
        <v>142953.60000000001</v>
      </c>
      <c r="N671" s="3">
        <v>483346.32864399999</v>
      </c>
      <c r="O671" s="3">
        <f t="shared" si="11"/>
        <v>104.23056805799951</v>
      </c>
      <c r="P671" s="3">
        <v>106726.08</v>
      </c>
      <c r="Q671" s="3">
        <v>82501.429764</v>
      </c>
      <c r="R671" s="3">
        <v>136185.21600000001</v>
      </c>
      <c r="S671" s="3">
        <v>52446.16</v>
      </c>
      <c r="T671" s="3">
        <v>11831.808000000001</v>
      </c>
      <c r="U671" s="3">
        <v>14295.36</v>
      </c>
      <c r="V671" s="3">
        <v>79360.274879999997</v>
      </c>
      <c r="W671" s="3">
        <v>0</v>
      </c>
      <c r="X671" s="3">
        <v>-340392.72864400002</v>
      </c>
      <c r="Y671" s="3">
        <v>0</v>
      </c>
      <c r="Z671" s="3">
        <v>34798.252800000002</v>
      </c>
      <c r="AA671" s="3">
        <v>-34798.252800000002</v>
      </c>
      <c r="AB671" s="3">
        <v>0</v>
      </c>
      <c r="AC671" s="3">
        <v>0</v>
      </c>
      <c r="AD671" s="3">
        <v>0</v>
      </c>
      <c r="AE671" s="3">
        <v>-375190.98144399998</v>
      </c>
      <c r="AF671" s="3">
        <v>0</v>
      </c>
      <c r="AG671" s="3">
        <v>-375190.98144399998</v>
      </c>
      <c r="AH671" s="3">
        <v>-375190.98144399998</v>
      </c>
      <c r="AI671" s="3">
        <v>320000</v>
      </c>
      <c r="AJ671" s="3">
        <v>-32000</v>
      </c>
    </row>
    <row r="672" spans="1:36" x14ac:dyDescent="0.2">
      <c r="A672" s="3" t="s">
        <v>36</v>
      </c>
      <c r="B672" s="3" t="s">
        <v>65</v>
      </c>
      <c r="C672" s="3" t="s">
        <v>66</v>
      </c>
      <c r="D672" s="3">
        <v>2</v>
      </c>
      <c r="E672" s="3">
        <v>2023</v>
      </c>
      <c r="F672" s="3">
        <v>1</v>
      </c>
      <c r="G672" s="3" t="s">
        <v>42</v>
      </c>
      <c r="H672" s="3" t="s">
        <v>46</v>
      </c>
      <c r="I672" s="5">
        <v>1665600</v>
      </c>
      <c r="J672" s="3">
        <v>15585</v>
      </c>
      <c r="K672" s="3">
        <v>1650015</v>
      </c>
      <c r="L672" s="3">
        <v>999360</v>
      </c>
      <c r="M672" s="3">
        <v>650655</v>
      </c>
      <c r="N672" s="3">
        <v>601026.73347803566</v>
      </c>
      <c r="O672" s="3">
        <f t="shared" si="11"/>
        <v>36.425531493837063</v>
      </c>
      <c r="P672" s="3">
        <v>122301</v>
      </c>
      <c r="Q672" s="3">
        <v>70004.240403749995</v>
      </c>
      <c r="R672" s="3">
        <v>149389.57797428576</v>
      </c>
      <c r="S672" s="3">
        <v>104029.27499999999</v>
      </c>
      <c r="T672" s="3">
        <v>54956.880000000005</v>
      </c>
      <c r="U672" s="3">
        <v>65065.5</v>
      </c>
      <c r="V672" s="3">
        <v>35280.2601</v>
      </c>
      <c r="W672" s="3">
        <v>0</v>
      </c>
      <c r="X672" s="3">
        <v>49628.266521964295</v>
      </c>
      <c r="Y672" s="3">
        <v>0</v>
      </c>
      <c r="Z672" s="3">
        <v>33451.955999999998</v>
      </c>
      <c r="AA672" s="3">
        <v>-33451.955999999998</v>
      </c>
      <c r="AB672" s="3">
        <v>0</v>
      </c>
      <c r="AC672" s="3">
        <v>0</v>
      </c>
      <c r="AD672" s="3">
        <v>0</v>
      </c>
      <c r="AE672" s="3">
        <v>16176.310521964298</v>
      </c>
      <c r="AF672" s="3">
        <v>0</v>
      </c>
      <c r="AG672" s="3">
        <v>16176.310521964298</v>
      </c>
      <c r="AH672" s="3">
        <v>16176.310521964298</v>
      </c>
      <c r="AI672" s="3">
        <v>1500000</v>
      </c>
      <c r="AJ672" s="3">
        <v>-90000</v>
      </c>
    </row>
    <row r="673" spans="1:36" x14ac:dyDescent="0.2">
      <c r="A673" s="3" t="s">
        <v>36</v>
      </c>
      <c r="B673" s="3" t="s">
        <v>65</v>
      </c>
      <c r="C673" s="3" t="s">
        <v>66</v>
      </c>
      <c r="D673" s="3">
        <v>1</v>
      </c>
      <c r="E673" s="3">
        <v>2023</v>
      </c>
      <c r="F673" s="3">
        <v>1</v>
      </c>
      <c r="G673" s="3" t="s">
        <v>42</v>
      </c>
      <c r="H673" s="3" t="s">
        <v>46</v>
      </c>
      <c r="I673" s="5">
        <v>1673464</v>
      </c>
      <c r="J673" s="3">
        <v>117234</v>
      </c>
      <c r="K673" s="3">
        <v>1556230</v>
      </c>
      <c r="L673" s="3">
        <v>1004078.3999999999</v>
      </c>
      <c r="M673" s="3">
        <v>552151.60000000009</v>
      </c>
      <c r="N673" s="3">
        <v>946097.17393649905</v>
      </c>
      <c r="O673" s="3">
        <f t="shared" si="11"/>
        <v>60.7941739933364</v>
      </c>
      <c r="P673" s="3">
        <v>211988.4</v>
      </c>
      <c r="Q673" s="3">
        <v>120092.6833665</v>
      </c>
      <c r="R673" s="3">
        <v>209552.3285079365</v>
      </c>
      <c r="S673" s="3">
        <v>145836.21</v>
      </c>
      <c r="T673" s="3">
        <v>41344.991999999998</v>
      </c>
      <c r="U673" s="3">
        <v>55518.073022062599</v>
      </c>
      <c r="V673" s="3">
        <v>161764.48703999998</v>
      </c>
      <c r="W673" s="3">
        <v>0</v>
      </c>
      <c r="X673" s="3">
        <v>-393945.57393649907</v>
      </c>
      <c r="Y673" s="3">
        <v>0</v>
      </c>
      <c r="Z673" s="3">
        <v>60196.952400000002</v>
      </c>
      <c r="AA673" s="3">
        <v>-60196.952400000002</v>
      </c>
      <c r="AB673" s="3">
        <v>0</v>
      </c>
      <c r="AC673" s="3">
        <v>0</v>
      </c>
      <c r="AD673" s="3">
        <v>0</v>
      </c>
      <c r="AE673" s="3">
        <v>-454142.52633649908</v>
      </c>
      <c r="AF673" s="3">
        <v>0</v>
      </c>
      <c r="AG673" s="3">
        <v>-454142.52633649908</v>
      </c>
      <c r="AH673" s="3">
        <v>-454142.52633649908</v>
      </c>
      <c r="AI673" s="3">
        <v>1040000</v>
      </c>
      <c r="AJ673" s="3">
        <v>-156000</v>
      </c>
    </row>
    <row r="674" spans="1:36" x14ac:dyDescent="0.2">
      <c r="A674" s="3" t="s">
        <v>36</v>
      </c>
      <c r="B674" s="3" t="s">
        <v>65</v>
      </c>
      <c r="C674" s="3" t="s">
        <v>66</v>
      </c>
      <c r="D674" s="3">
        <v>1</v>
      </c>
      <c r="E674" s="3">
        <v>2023</v>
      </c>
      <c r="F674" s="3">
        <v>1</v>
      </c>
      <c r="G674" s="3" t="s">
        <v>48</v>
      </c>
      <c r="H674" s="3" t="s">
        <v>46</v>
      </c>
      <c r="I674" s="5">
        <v>67733497</v>
      </c>
      <c r="J674" s="3">
        <v>7084402</v>
      </c>
      <c r="K674" s="3">
        <v>60649095</v>
      </c>
      <c r="L674" s="3">
        <v>46367301.721000001</v>
      </c>
      <c r="M674" s="3">
        <v>14281793.279000001</v>
      </c>
      <c r="N674" s="3">
        <v>8091062.4746541781</v>
      </c>
      <c r="O674" s="3">
        <f t="shared" si="11"/>
        <v>13.34078022871434</v>
      </c>
      <c r="P674" s="3">
        <v>1360258.9000000001</v>
      </c>
      <c r="Q674" s="3">
        <v>786293.62616837514</v>
      </c>
      <c r="R674" s="3">
        <v>2153307.6912592594</v>
      </c>
      <c r="S674" s="3">
        <v>1393146.1808333334</v>
      </c>
      <c r="T674" s="3">
        <v>802492.99514882476</v>
      </c>
      <c r="U674" s="3">
        <v>910576.70930438605</v>
      </c>
      <c r="V674" s="3">
        <v>684986.3719400001</v>
      </c>
      <c r="W674" s="3">
        <v>0</v>
      </c>
      <c r="X674" s="3">
        <v>6190730.804345822</v>
      </c>
      <c r="Y674" s="3">
        <v>0</v>
      </c>
      <c r="Z674" s="3">
        <v>511565.91675815574</v>
      </c>
      <c r="AA674" s="3">
        <v>-511565.91675815574</v>
      </c>
      <c r="AB674" s="3">
        <v>32110</v>
      </c>
      <c r="AC674" s="3">
        <v>0</v>
      </c>
      <c r="AD674" s="3">
        <v>32110</v>
      </c>
      <c r="AE674" s="3">
        <v>5711274.8875876665</v>
      </c>
      <c r="AF674" s="3">
        <v>0</v>
      </c>
      <c r="AG674" s="3">
        <v>5711274.8875876665</v>
      </c>
      <c r="AH674" s="3">
        <v>5711274.8875876665</v>
      </c>
      <c r="AI674" s="3">
        <v>41080000</v>
      </c>
      <c r="AJ674" s="3">
        <v>1924000</v>
      </c>
    </row>
    <row r="675" spans="1:36" x14ac:dyDescent="0.2">
      <c r="A675" s="3" t="s">
        <v>36</v>
      </c>
      <c r="B675" s="3" t="s">
        <v>65</v>
      </c>
      <c r="C675" s="3" t="s">
        <v>66</v>
      </c>
      <c r="D675" s="3">
        <v>2</v>
      </c>
      <c r="E675" s="3">
        <v>2023</v>
      </c>
      <c r="F675" s="3">
        <v>1</v>
      </c>
      <c r="G675" s="3" t="s">
        <v>48</v>
      </c>
      <c r="H675" s="3" t="s">
        <v>46</v>
      </c>
      <c r="I675" s="5">
        <v>82486954.000000015</v>
      </c>
      <c r="J675" s="3">
        <v>2218392.0000000005</v>
      </c>
      <c r="K675" s="3">
        <v>80268562.000000015</v>
      </c>
      <c r="L675" s="3">
        <v>53379846.894000009</v>
      </c>
      <c r="M675" s="3">
        <v>26888715.106000002</v>
      </c>
      <c r="N675" s="3">
        <v>15548264.417763039</v>
      </c>
      <c r="O675" s="3">
        <f t="shared" si="11"/>
        <v>19.370303927661041</v>
      </c>
      <c r="P675" s="3">
        <v>2301976.6000000006</v>
      </c>
      <c r="Q675" s="3">
        <v>1436397.4039772502</v>
      </c>
      <c r="R675" s="3">
        <v>3934959.2766236933</v>
      </c>
      <c r="S675" s="3">
        <v>2103650.7983333338</v>
      </c>
      <c r="T675" s="3">
        <v>2618358.6502496866</v>
      </c>
      <c r="U675" s="3">
        <v>2375240.1789190727</v>
      </c>
      <c r="V675" s="3">
        <v>777681.50965999998</v>
      </c>
      <c r="W675" s="3">
        <v>0</v>
      </c>
      <c r="X675" s="3">
        <v>11340450.688236963</v>
      </c>
      <c r="Y675" s="3">
        <v>0</v>
      </c>
      <c r="Z675" s="3">
        <v>1278314.7739537009</v>
      </c>
      <c r="AA675" s="3">
        <v>-1278314.7739537009</v>
      </c>
      <c r="AB675" s="3">
        <v>33660.000000000007</v>
      </c>
      <c r="AC675" s="3">
        <v>0</v>
      </c>
      <c r="AD675" s="3">
        <v>33660.000000000007</v>
      </c>
      <c r="AE675" s="3">
        <v>10095795.914283263</v>
      </c>
      <c r="AF675" s="3">
        <v>0</v>
      </c>
      <c r="AG675" s="3">
        <v>10095795.914283263</v>
      </c>
      <c r="AH675" s="3">
        <v>10095795.914283263</v>
      </c>
      <c r="AI675" s="3">
        <v>63800000.000000007</v>
      </c>
      <c r="AJ675" s="3">
        <v>2266000.0000000005</v>
      </c>
    </row>
    <row r="676" spans="1:36" x14ac:dyDescent="0.2">
      <c r="A676" s="3" t="s">
        <v>36</v>
      </c>
      <c r="B676" s="3" t="s">
        <v>65</v>
      </c>
      <c r="C676" s="3" t="s">
        <v>66</v>
      </c>
      <c r="D676" s="3">
        <v>3</v>
      </c>
      <c r="E676" s="3">
        <v>2023</v>
      </c>
      <c r="F676" s="3">
        <v>1</v>
      </c>
      <c r="G676" s="3" t="s">
        <v>48</v>
      </c>
      <c r="H676" s="3" t="s">
        <v>46</v>
      </c>
      <c r="I676" s="5">
        <v>87348996</v>
      </c>
      <c r="J676" s="3">
        <v>5182754.6399999997</v>
      </c>
      <c r="K676" s="3">
        <v>82166241.359999999</v>
      </c>
      <c r="L676" s="3">
        <v>61688265.366000004</v>
      </c>
      <c r="M676" s="3">
        <v>20477975.994000003</v>
      </c>
      <c r="N676" s="3">
        <v>14618759.525579493</v>
      </c>
      <c r="O676" s="3">
        <f t="shared" si="11"/>
        <v>17.791685835463039</v>
      </c>
      <c r="P676" s="3">
        <v>1797667.4100000001</v>
      </c>
      <c r="Q676" s="3">
        <v>1561970.6358873753</v>
      </c>
      <c r="R676" s="3">
        <v>3339990.7896923078</v>
      </c>
      <c r="S676" s="3">
        <v>2006585.5075000003</v>
      </c>
      <c r="T676" s="3">
        <v>3261260.0402331287</v>
      </c>
      <c r="U676" s="3">
        <v>1684577.6499566799</v>
      </c>
      <c r="V676" s="3">
        <v>966707.49231000012</v>
      </c>
      <c r="W676" s="3">
        <v>0</v>
      </c>
      <c r="X676" s="3">
        <v>5859216.4684205083</v>
      </c>
      <c r="Y676" s="3">
        <v>0</v>
      </c>
      <c r="Z676" s="3">
        <v>996398.68704621389</v>
      </c>
      <c r="AA676" s="3">
        <v>-996398.68704621389</v>
      </c>
      <c r="AB676" s="3">
        <v>59220</v>
      </c>
      <c r="AC676" s="3">
        <v>0</v>
      </c>
      <c r="AD676" s="3">
        <v>59220</v>
      </c>
      <c r="AE676" s="3">
        <v>4922037.7813742943</v>
      </c>
      <c r="AF676" s="3">
        <v>0</v>
      </c>
      <c r="AG676" s="3">
        <v>4922037.7813742943</v>
      </c>
      <c r="AH676" s="3">
        <v>4922037.7813742943</v>
      </c>
      <c r="AI676" s="3">
        <v>65100000</v>
      </c>
      <c r="AJ676" s="3">
        <v>2058000</v>
      </c>
    </row>
    <row r="677" spans="1:36" x14ac:dyDescent="0.2">
      <c r="A677" s="3" t="s">
        <v>36</v>
      </c>
      <c r="B677" s="3" t="s">
        <v>65</v>
      </c>
      <c r="C677" s="3" t="s">
        <v>66</v>
      </c>
      <c r="D677" s="3">
        <v>1</v>
      </c>
      <c r="E677" s="3">
        <v>2023</v>
      </c>
      <c r="F677" s="3">
        <v>1</v>
      </c>
      <c r="G677" s="3" t="s">
        <v>39</v>
      </c>
      <c r="H677" s="3" t="s">
        <v>46</v>
      </c>
      <c r="I677" s="5">
        <v>447854332.5</v>
      </c>
      <c r="J677" s="3">
        <v>0</v>
      </c>
      <c r="K677" s="3">
        <v>447854332.5</v>
      </c>
      <c r="L677" s="3">
        <v>447345315</v>
      </c>
      <c r="M677" s="3">
        <v>509017.5</v>
      </c>
      <c r="N677" s="3">
        <v>722184.81474929024</v>
      </c>
      <c r="O677" s="3">
        <f t="shared" si="11"/>
        <v>0.16125439955396439</v>
      </c>
      <c r="P677" s="3">
        <v>110070.9</v>
      </c>
      <c r="Q677" s="3">
        <v>235600.41861337505</v>
      </c>
      <c r="R677" s="3">
        <v>165648.75269010989</v>
      </c>
      <c r="S677" s="3">
        <v>36401.859000000004</v>
      </c>
      <c r="T677" s="3">
        <v>124898.30811906983</v>
      </c>
      <c r="U677" s="3">
        <v>14482.336710735397</v>
      </c>
      <c r="V677" s="3">
        <v>35082.239615999999</v>
      </c>
      <c r="W677" s="3">
        <v>0</v>
      </c>
      <c r="X677" s="3">
        <v>-213167.31474929021</v>
      </c>
      <c r="Y677" s="3">
        <v>538879.5</v>
      </c>
      <c r="Z677" s="3">
        <v>538879.5</v>
      </c>
      <c r="AA677" s="3">
        <v>0</v>
      </c>
      <c r="AB677" s="3">
        <v>227259</v>
      </c>
      <c r="AC677" s="3">
        <v>227259</v>
      </c>
      <c r="AD677" s="3">
        <v>0</v>
      </c>
      <c r="AE677" s="3">
        <v>-213167.31474929021</v>
      </c>
      <c r="AF677" s="3">
        <v>0</v>
      </c>
      <c r="AG677" s="3">
        <v>-213167.31474929021</v>
      </c>
      <c r="AH677" s="3">
        <v>-213167.31474929021</v>
      </c>
      <c r="AI677" s="3">
        <v>1092911332.5</v>
      </c>
      <c r="AJ677" s="3">
        <v>0</v>
      </c>
    </row>
    <row r="678" spans="1:36" x14ac:dyDescent="0.2">
      <c r="A678" s="3" t="s">
        <v>36</v>
      </c>
      <c r="B678" s="3" t="s">
        <v>65</v>
      </c>
      <c r="C678" s="3" t="s">
        <v>66</v>
      </c>
      <c r="D678" s="3">
        <v>2</v>
      </c>
      <c r="E678" s="3">
        <v>2023</v>
      </c>
      <c r="F678" s="3">
        <v>1</v>
      </c>
      <c r="G678" s="3" t="s">
        <v>39</v>
      </c>
      <c r="H678" s="3" t="s">
        <v>46</v>
      </c>
      <c r="I678" s="5">
        <v>835538502.17040002</v>
      </c>
      <c r="J678" s="3">
        <v>0</v>
      </c>
      <c r="K678" s="3">
        <v>835538502.17040002</v>
      </c>
      <c r="L678" s="3">
        <v>834524011.6500001</v>
      </c>
      <c r="M678" s="3">
        <v>1014490.5204000322</v>
      </c>
      <c r="N678" s="3">
        <v>628059.49974402611</v>
      </c>
      <c r="O678" s="3">
        <f t="shared" si="11"/>
        <v>7.5168229604330006E-2</v>
      </c>
      <c r="P678" s="3">
        <v>85610.7</v>
      </c>
      <c r="Q678" s="3">
        <v>183748.77003262503</v>
      </c>
      <c r="R678" s="3">
        <v>164757.38760203079</v>
      </c>
      <c r="S678" s="3">
        <v>43954.197</v>
      </c>
      <c r="T678" s="3">
        <v>104873.74230915711</v>
      </c>
      <c r="U678" s="3">
        <v>35236.229972213194</v>
      </c>
      <c r="V678" s="3">
        <v>9878.4728279999999</v>
      </c>
      <c r="W678" s="3">
        <v>0</v>
      </c>
      <c r="X678" s="3">
        <v>386431.02065600583</v>
      </c>
      <c r="Y678" s="3">
        <v>470575.98</v>
      </c>
      <c r="Z678" s="3">
        <v>470575.98</v>
      </c>
      <c r="AA678" s="3">
        <v>0</v>
      </c>
      <c r="AB678" s="3">
        <v>197925</v>
      </c>
      <c r="AC678" s="3">
        <v>197925</v>
      </c>
      <c r="AD678" s="3">
        <v>0</v>
      </c>
      <c r="AE678" s="3">
        <v>386431.02065600583</v>
      </c>
      <c r="AF678" s="3">
        <v>0</v>
      </c>
      <c r="AG678" s="3">
        <v>386431.02065600583</v>
      </c>
      <c r="AH678" s="3">
        <v>386431.02065600583</v>
      </c>
      <c r="AI678" s="3">
        <v>835538502.17040002</v>
      </c>
      <c r="AJ678" s="3">
        <v>0</v>
      </c>
    </row>
    <row r="679" spans="1:36" x14ac:dyDescent="0.2">
      <c r="A679" s="3" t="s">
        <v>36</v>
      </c>
      <c r="B679" s="3" t="s">
        <v>65</v>
      </c>
      <c r="C679" s="3" t="s">
        <v>66</v>
      </c>
      <c r="D679" s="3">
        <v>2</v>
      </c>
      <c r="E679" s="3">
        <v>2023</v>
      </c>
      <c r="F679" s="3">
        <v>1</v>
      </c>
      <c r="G679" s="3" t="s">
        <v>39</v>
      </c>
      <c r="H679" s="3" t="s">
        <v>40</v>
      </c>
      <c r="I679" s="5">
        <v>894685264.005</v>
      </c>
      <c r="J679" s="3">
        <v>0</v>
      </c>
      <c r="K679" s="3">
        <v>894685264.005</v>
      </c>
      <c r="L679" s="3">
        <v>893290530.62999988</v>
      </c>
      <c r="M679" s="3">
        <v>1394733.375</v>
      </c>
      <c r="N679" s="3">
        <v>845132.91351556545</v>
      </c>
      <c r="O679" s="3">
        <f t="shared" si="11"/>
        <v>9.4461476847442785E-2</v>
      </c>
      <c r="P679" s="3">
        <v>61150.5</v>
      </c>
      <c r="Q679" s="3">
        <v>131249.12145187502</v>
      </c>
      <c r="R679" s="3">
        <v>470735.39314865944</v>
      </c>
      <c r="S679" s="3">
        <v>17223.420000000002</v>
      </c>
      <c r="T679" s="3">
        <v>88107.091758262701</v>
      </c>
      <c r="U679" s="3">
        <v>48443.179076768298</v>
      </c>
      <c r="V679" s="3">
        <v>28224.208080000004</v>
      </c>
      <c r="W679" s="3">
        <v>0</v>
      </c>
      <c r="X679" s="3">
        <v>549600.46148443467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549600.46148443467</v>
      </c>
      <c r="AF679" s="3">
        <v>0</v>
      </c>
      <c r="AG679" s="3">
        <v>549600.46148443467</v>
      </c>
      <c r="AH679" s="3">
        <v>549600.46148443467</v>
      </c>
      <c r="AI679" s="3">
        <v>894685264.005</v>
      </c>
      <c r="AJ679" s="3">
        <v>825000</v>
      </c>
    </row>
    <row r="680" spans="1:36" x14ac:dyDescent="0.2">
      <c r="A680" s="3" t="s">
        <v>36</v>
      </c>
      <c r="B680" s="3" t="s">
        <v>65</v>
      </c>
      <c r="C680" s="3" t="s">
        <v>66</v>
      </c>
      <c r="D680" s="3">
        <v>1</v>
      </c>
      <c r="E680" s="3">
        <v>2023</v>
      </c>
      <c r="F680" s="3">
        <v>1</v>
      </c>
      <c r="G680" s="3" t="s">
        <v>39</v>
      </c>
      <c r="H680" s="3" t="s">
        <v>40</v>
      </c>
      <c r="I680" s="5">
        <v>895535333.33599985</v>
      </c>
      <c r="J680" s="3">
        <v>0</v>
      </c>
      <c r="K680" s="3">
        <v>895535333.33599985</v>
      </c>
      <c r="L680" s="3">
        <v>894346232.28999996</v>
      </c>
      <c r="M680" s="3">
        <v>1189101.0459999999</v>
      </c>
      <c r="N680" s="3">
        <v>717986.28066871664</v>
      </c>
      <c r="O680" s="3">
        <f t="shared" si="11"/>
        <v>8.0173975715074577E-2</v>
      </c>
      <c r="P680" s="3">
        <v>57073.8</v>
      </c>
      <c r="Q680" s="3">
        <v>122163.18002175001</v>
      </c>
      <c r="R680" s="3">
        <v>343567.78335726494</v>
      </c>
      <c r="S680" s="3">
        <v>29300.151999999998</v>
      </c>
      <c r="T680" s="3">
        <v>62366.43410667657</v>
      </c>
      <c r="U680" s="3">
        <v>33831.767535025145</v>
      </c>
      <c r="V680" s="3">
        <v>69683.163647999987</v>
      </c>
      <c r="W680" s="3">
        <v>0</v>
      </c>
      <c r="X680" s="3">
        <v>471114.76533128327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471114.76533128327</v>
      </c>
      <c r="AF680" s="3">
        <v>0</v>
      </c>
      <c r="AG680" s="3">
        <v>471114.76533128327</v>
      </c>
      <c r="AH680" s="3">
        <v>471114.76533128327</v>
      </c>
      <c r="AI680" s="3">
        <v>1546206333.336</v>
      </c>
      <c r="AJ680" s="3">
        <v>490000</v>
      </c>
    </row>
    <row r="681" spans="1:36" x14ac:dyDescent="0.2">
      <c r="A681" s="3" t="s">
        <v>36</v>
      </c>
      <c r="B681" s="3" t="s">
        <v>65</v>
      </c>
      <c r="C681" s="3" t="s">
        <v>66</v>
      </c>
      <c r="D681" s="3">
        <v>3</v>
      </c>
      <c r="E681" s="3">
        <v>2023</v>
      </c>
      <c r="F681" s="3">
        <v>1</v>
      </c>
      <c r="G681" s="3" t="s">
        <v>39</v>
      </c>
      <c r="H681" s="3" t="s">
        <v>46</v>
      </c>
      <c r="I681" s="5">
        <v>981874392.67200005</v>
      </c>
      <c r="J681" s="3">
        <v>0</v>
      </c>
      <c r="K681" s="3">
        <v>981874392.67200005</v>
      </c>
      <c r="L681" s="3">
        <v>980683072.68000007</v>
      </c>
      <c r="M681" s="3">
        <v>1191319.9920000457</v>
      </c>
      <c r="N681" s="3">
        <v>853945.21442239033</v>
      </c>
      <c r="O681" s="3">
        <f t="shared" si="11"/>
        <v>8.6970922227488506E-2</v>
      </c>
      <c r="P681" s="3">
        <v>100055.7</v>
      </c>
      <c r="Q681" s="3">
        <v>269839.09290375008</v>
      </c>
      <c r="R681" s="3">
        <v>192356.99446153844</v>
      </c>
      <c r="S681" s="3">
        <v>106343.31</v>
      </c>
      <c r="T681" s="3">
        <v>134386.88915752267</v>
      </c>
      <c r="U681" s="3">
        <v>18434.100819579158</v>
      </c>
      <c r="V681" s="3">
        <v>32529.127080000002</v>
      </c>
      <c r="W681" s="3">
        <v>0</v>
      </c>
      <c r="X681" s="3">
        <v>337374.77757765551</v>
      </c>
      <c r="Y681" s="3">
        <v>654334.19999999995</v>
      </c>
      <c r="Z681" s="3">
        <v>654334.19999999995</v>
      </c>
      <c r="AA681" s="3">
        <v>0</v>
      </c>
      <c r="AB681" s="3">
        <v>178950</v>
      </c>
      <c r="AC681" s="3">
        <v>178950</v>
      </c>
      <c r="AD681" s="3">
        <v>0</v>
      </c>
      <c r="AE681" s="3">
        <v>337374.77757765551</v>
      </c>
      <c r="AF681" s="3">
        <v>0</v>
      </c>
      <c r="AG681" s="3">
        <v>337374.77757765551</v>
      </c>
      <c r="AH681" s="3">
        <v>337374.77757765551</v>
      </c>
      <c r="AI681" s="3">
        <v>981874392.67200005</v>
      </c>
      <c r="AJ681" s="3">
        <v>0</v>
      </c>
    </row>
    <row r="682" spans="1:36" x14ac:dyDescent="0.2">
      <c r="A682" s="3" t="s">
        <v>36</v>
      </c>
      <c r="B682" s="3" t="s">
        <v>65</v>
      </c>
      <c r="C682" s="3" t="s">
        <v>66</v>
      </c>
      <c r="D682" s="3">
        <v>3</v>
      </c>
      <c r="E682" s="3">
        <v>2023</v>
      </c>
      <c r="F682" s="3">
        <v>1</v>
      </c>
      <c r="G682" s="3" t="s">
        <v>39</v>
      </c>
      <c r="H682" s="3" t="s">
        <v>40</v>
      </c>
      <c r="I682" s="5">
        <v>1126316486.6400001</v>
      </c>
      <c r="J682" s="3">
        <v>0</v>
      </c>
      <c r="K682" s="3">
        <v>1126316486.6400001</v>
      </c>
      <c r="L682" s="3">
        <v>1119240847.3199999</v>
      </c>
      <c r="M682" s="3">
        <v>7075639.3200000003</v>
      </c>
      <c r="N682" s="3">
        <v>1606910.4850254986</v>
      </c>
      <c r="O682" s="3">
        <f t="shared" si="11"/>
        <v>0.1426695341927556</v>
      </c>
      <c r="P682" s="3">
        <v>100055.7</v>
      </c>
      <c r="Q682" s="3">
        <v>269839.09290375008</v>
      </c>
      <c r="R682" s="3">
        <v>769427.97784615378</v>
      </c>
      <c r="S682" s="3">
        <v>43893.24</v>
      </c>
      <c r="T682" s="3">
        <v>196631.80819466765</v>
      </c>
      <c r="U682" s="3">
        <v>109486.15776092719</v>
      </c>
      <c r="V682" s="3">
        <v>117576.50832000001</v>
      </c>
      <c r="W682" s="3">
        <v>0</v>
      </c>
      <c r="X682" s="3">
        <v>5468728.8349745013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5468728.8349745013</v>
      </c>
      <c r="AF682" s="3">
        <v>0</v>
      </c>
      <c r="AG682" s="3">
        <v>5468728.8349745013</v>
      </c>
      <c r="AH682" s="3">
        <v>5468728.8349745013</v>
      </c>
      <c r="AI682" s="3">
        <v>1126316486.6400001</v>
      </c>
      <c r="AJ682" s="3">
        <v>1650000</v>
      </c>
    </row>
    <row r="683" spans="1:36" x14ac:dyDescent="0.2">
      <c r="A683" s="3" t="s">
        <v>36</v>
      </c>
      <c r="B683" s="3" t="s">
        <v>65</v>
      </c>
      <c r="C683" s="3" t="s">
        <v>67</v>
      </c>
      <c r="D683" s="3">
        <v>1</v>
      </c>
      <c r="E683" s="3">
        <v>2023</v>
      </c>
      <c r="F683" s="3">
        <v>1</v>
      </c>
      <c r="G683" s="3" t="s">
        <v>42</v>
      </c>
      <c r="H683" s="3" t="s">
        <v>40</v>
      </c>
      <c r="I683" s="5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 t="e">
        <f t="shared" si="11"/>
        <v>#DIV/0!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</row>
    <row r="684" spans="1:36" x14ac:dyDescent="0.2">
      <c r="A684" s="3" t="s">
        <v>36</v>
      </c>
      <c r="B684" s="3" t="s">
        <v>65</v>
      </c>
      <c r="C684" s="3" t="s">
        <v>67</v>
      </c>
      <c r="D684" s="3">
        <v>1</v>
      </c>
      <c r="E684" s="3">
        <v>2023</v>
      </c>
      <c r="F684" s="3">
        <v>1</v>
      </c>
      <c r="G684" s="3" t="s">
        <v>48</v>
      </c>
      <c r="H684" s="3" t="s">
        <v>46</v>
      </c>
      <c r="I684" s="5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 t="e">
        <f t="shared" si="11"/>
        <v>#DIV/0!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</row>
    <row r="685" spans="1:36" x14ac:dyDescent="0.2">
      <c r="A685" s="3" t="s">
        <v>36</v>
      </c>
      <c r="B685" s="3" t="s">
        <v>65</v>
      </c>
      <c r="C685" s="3" t="s">
        <v>67</v>
      </c>
      <c r="D685" s="3">
        <v>1</v>
      </c>
      <c r="E685" s="3">
        <v>2023</v>
      </c>
      <c r="F685" s="3">
        <v>1</v>
      </c>
      <c r="G685" s="3" t="s">
        <v>39</v>
      </c>
      <c r="H685" s="3" t="s">
        <v>40</v>
      </c>
      <c r="I685" s="5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 t="e">
        <f t="shared" si="11"/>
        <v>#DIV/0!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</row>
    <row r="686" spans="1:36" x14ac:dyDescent="0.2">
      <c r="A686" s="3" t="s">
        <v>36</v>
      </c>
      <c r="B686" s="3" t="s">
        <v>65</v>
      </c>
      <c r="C686" s="3" t="s">
        <v>67</v>
      </c>
      <c r="D686" s="3">
        <v>2</v>
      </c>
      <c r="E686" s="3">
        <v>2023</v>
      </c>
      <c r="F686" s="3">
        <v>1</v>
      </c>
      <c r="G686" s="3" t="s">
        <v>42</v>
      </c>
      <c r="H686" s="3" t="s">
        <v>40</v>
      </c>
      <c r="I686" s="5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 t="e">
        <f t="shared" si="11"/>
        <v>#DIV/0!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</row>
    <row r="687" spans="1:36" x14ac:dyDescent="0.2">
      <c r="A687" s="3" t="s">
        <v>36</v>
      </c>
      <c r="B687" s="3" t="s">
        <v>65</v>
      </c>
      <c r="C687" s="3" t="s">
        <v>67</v>
      </c>
      <c r="D687" s="3">
        <v>2</v>
      </c>
      <c r="E687" s="3">
        <v>2023</v>
      </c>
      <c r="F687" s="3">
        <v>1</v>
      </c>
      <c r="G687" s="3" t="s">
        <v>48</v>
      </c>
      <c r="H687" s="3" t="s">
        <v>46</v>
      </c>
      <c r="I687" s="5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 t="e">
        <f t="shared" si="11"/>
        <v>#DIV/0!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</row>
    <row r="688" spans="1:36" x14ac:dyDescent="0.2">
      <c r="A688" s="3" t="s">
        <v>36</v>
      </c>
      <c r="B688" s="3" t="s">
        <v>65</v>
      </c>
      <c r="C688" s="3" t="s">
        <v>67</v>
      </c>
      <c r="D688" s="3">
        <v>2</v>
      </c>
      <c r="E688" s="3">
        <v>2023</v>
      </c>
      <c r="F688" s="3">
        <v>1</v>
      </c>
      <c r="G688" s="3" t="s">
        <v>39</v>
      </c>
      <c r="H688" s="3" t="s">
        <v>40</v>
      </c>
      <c r="I688" s="5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 t="e">
        <f t="shared" si="11"/>
        <v>#DIV/0!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</row>
    <row r="689" spans="1:36" x14ac:dyDescent="0.2">
      <c r="A689" s="3" t="s">
        <v>36</v>
      </c>
      <c r="B689" s="3" t="s">
        <v>65</v>
      </c>
      <c r="C689" s="3" t="s">
        <v>67</v>
      </c>
      <c r="D689" s="3">
        <v>3</v>
      </c>
      <c r="E689" s="3">
        <v>2023</v>
      </c>
      <c r="F689" s="3">
        <v>1</v>
      </c>
      <c r="G689" s="3" t="s">
        <v>42</v>
      </c>
      <c r="H689" s="3" t="s">
        <v>40</v>
      </c>
      <c r="I689" s="5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 t="e">
        <f t="shared" si="11"/>
        <v>#DIV/0!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</row>
    <row r="690" spans="1:36" x14ac:dyDescent="0.2">
      <c r="A690" s="3" t="s">
        <v>36</v>
      </c>
      <c r="B690" s="3" t="s">
        <v>65</v>
      </c>
      <c r="C690" s="3" t="s">
        <v>67</v>
      </c>
      <c r="D690" s="3">
        <v>3</v>
      </c>
      <c r="E690" s="3">
        <v>2023</v>
      </c>
      <c r="F690" s="3">
        <v>1</v>
      </c>
      <c r="G690" s="3" t="s">
        <v>48</v>
      </c>
      <c r="H690" s="3" t="s">
        <v>46</v>
      </c>
      <c r="I690" s="5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 t="e">
        <f t="shared" si="11"/>
        <v>#DIV/0!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</row>
    <row r="691" spans="1:36" x14ac:dyDescent="0.2">
      <c r="A691" s="3" t="s">
        <v>36</v>
      </c>
      <c r="B691" s="3" t="s">
        <v>65</v>
      </c>
      <c r="C691" s="3" t="s">
        <v>67</v>
      </c>
      <c r="D691" s="3">
        <v>3</v>
      </c>
      <c r="E691" s="3">
        <v>2023</v>
      </c>
      <c r="F691" s="3">
        <v>1</v>
      </c>
      <c r="G691" s="3" t="s">
        <v>39</v>
      </c>
      <c r="H691" s="3" t="s">
        <v>40</v>
      </c>
      <c r="I691" s="5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 t="e">
        <f t="shared" si="11"/>
        <v>#DIV/0!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</row>
    <row r="692" spans="1:36" x14ac:dyDescent="0.2">
      <c r="A692" s="3" t="s">
        <v>36</v>
      </c>
      <c r="B692" s="3" t="s">
        <v>65</v>
      </c>
      <c r="C692" s="3" t="s">
        <v>67</v>
      </c>
      <c r="D692" s="3">
        <v>3</v>
      </c>
      <c r="E692" s="3">
        <v>2023</v>
      </c>
      <c r="F692" s="3">
        <v>1</v>
      </c>
      <c r="G692" s="3" t="s">
        <v>42</v>
      </c>
      <c r="H692" s="3" t="s">
        <v>46</v>
      </c>
      <c r="I692" s="5">
        <v>5280</v>
      </c>
      <c r="J692" s="3">
        <v>1320</v>
      </c>
      <c r="K692" s="3">
        <v>3960</v>
      </c>
      <c r="L692" s="3">
        <v>3168</v>
      </c>
      <c r="M692" s="3">
        <v>792</v>
      </c>
      <c r="N692" s="3">
        <v>168919.72752000001</v>
      </c>
      <c r="O692" s="3">
        <f t="shared" si="11"/>
        <v>4265.6496848484849</v>
      </c>
      <c r="P692" s="3">
        <v>36000</v>
      </c>
      <c r="Q692" s="3">
        <v>53511.959520000004</v>
      </c>
      <c r="R692" s="3">
        <v>60928.44000000001</v>
      </c>
      <c r="S692" s="3">
        <v>5491.5</v>
      </c>
      <c r="T692" s="3">
        <v>1848.7200000000003</v>
      </c>
      <c r="U692" s="3">
        <v>79.2</v>
      </c>
      <c r="V692" s="3">
        <v>11059.907999999999</v>
      </c>
      <c r="W692" s="3">
        <v>0</v>
      </c>
      <c r="X692" s="3">
        <v>-168127.72752000001</v>
      </c>
      <c r="Y692" s="3">
        <v>0</v>
      </c>
      <c r="Z692" s="3">
        <v>17399.126400000001</v>
      </c>
      <c r="AA692" s="3">
        <v>-17399.126400000001</v>
      </c>
      <c r="AB692" s="3">
        <v>0</v>
      </c>
      <c r="AC692" s="3">
        <v>0</v>
      </c>
      <c r="AD692" s="3">
        <v>0</v>
      </c>
      <c r="AE692" s="3">
        <v>-185526.85391999999</v>
      </c>
      <c r="AF692" s="3">
        <v>0</v>
      </c>
      <c r="AG692" s="3">
        <v>-185526.85391999999</v>
      </c>
      <c r="AH692" s="3">
        <v>-185526.85391999999</v>
      </c>
      <c r="AI692" s="3">
        <v>240000</v>
      </c>
      <c r="AJ692" s="3">
        <v>-24000</v>
      </c>
    </row>
    <row r="693" spans="1:36" x14ac:dyDescent="0.2">
      <c r="A693" s="3" t="s">
        <v>36</v>
      </c>
      <c r="B693" s="3" t="s">
        <v>65</v>
      </c>
      <c r="C693" s="3" t="s">
        <v>67</v>
      </c>
      <c r="D693" s="3">
        <v>1</v>
      </c>
      <c r="E693" s="3">
        <v>2023</v>
      </c>
      <c r="F693" s="3">
        <v>1</v>
      </c>
      <c r="G693" s="3" t="s">
        <v>42</v>
      </c>
      <c r="H693" s="3" t="s">
        <v>46</v>
      </c>
      <c r="I693" s="5">
        <v>18480.000000000004</v>
      </c>
      <c r="J693" s="3">
        <v>3289</v>
      </c>
      <c r="K693" s="3">
        <v>15191.000000000002</v>
      </c>
      <c r="L693" s="3">
        <v>11088</v>
      </c>
      <c r="M693" s="3">
        <v>4103.0000000000009</v>
      </c>
      <c r="N693" s="3">
        <v>77786.758339589869</v>
      </c>
      <c r="O693" s="3">
        <f t="shared" si="11"/>
        <v>512.05818142051123</v>
      </c>
      <c r="P693" s="3">
        <v>16500.000000000004</v>
      </c>
      <c r="Q693" s="3">
        <v>23898.202679999999</v>
      </c>
      <c r="R693" s="3">
        <v>30385.304684065941</v>
      </c>
      <c r="S693" s="3">
        <v>4254.9375</v>
      </c>
      <c r="T693" s="3">
        <v>1822.0950000000003</v>
      </c>
      <c r="U693" s="3">
        <v>412.55092552393739</v>
      </c>
      <c r="V693" s="3">
        <v>513.66755000000001</v>
      </c>
      <c r="W693" s="3">
        <v>0</v>
      </c>
      <c r="X693" s="3">
        <v>-73683.758339589869</v>
      </c>
      <c r="Y693" s="3">
        <v>0</v>
      </c>
      <c r="Z693" s="3">
        <v>8489.3138000000017</v>
      </c>
      <c r="AA693" s="3">
        <v>-8489.3138000000017</v>
      </c>
      <c r="AB693" s="3">
        <v>0</v>
      </c>
      <c r="AC693" s="3">
        <v>0</v>
      </c>
      <c r="AD693" s="3">
        <v>0</v>
      </c>
      <c r="AE693" s="3">
        <v>-82173.072139589873</v>
      </c>
      <c r="AF693" s="3">
        <v>0</v>
      </c>
      <c r="AG693" s="3">
        <v>-82173.072139589873</v>
      </c>
      <c r="AH693" s="3">
        <v>-82173.072139589873</v>
      </c>
      <c r="AI693" s="3">
        <v>165000.00000000003</v>
      </c>
      <c r="AJ693" s="3">
        <v>-16500.000000000004</v>
      </c>
    </row>
    <row r="694" spans="1:36" x14ac:dyDescent="0.2">
      <c r="A694" s="3" t="s">
        <v>36</v>
      </c>
      <c r="B694" s="3" t="s">
        <v>65</v>
      </c>
      <c r="C694" s="3" t="s">
        <v>67</v>
      </c>
      <c r="D694" s="3">
        <v>2</v>
      </c>
      <c r="E694" s="3">
        <v>2023</v>
      </c>
      <c r="F694" s="3">
        <v>1</v>
      </c>
      <c r="G694" s="3" t="s">
        <v>42</v>
      </c>
      <c r="H694" s="3" t="s">
        <v>46</v>
      </c>
      <c r="I694" s="5">
        <v>265626</v>
      </c>
      <c r="J694" s="3">
        <v>0</v>
      </c>
      <c r="K694" s="3">
        <v>265626</v>
      </c>
      <c r="L694" s="3">
        <v>159375.6</v>
      </c>
      <c r="M694" s="3">
        <v>106250.40000000001</v>
      </c>
      <c r="N694" s="3">
        <v>234079.73868931321</v>
      </c>
      <c r="O694" s="3">
        <f t="shared" si="11"/>
        <v>88.123805158122025</v>
      </c>
      <c r="P694" s="3">
        <v>40500.000000000007</v>
      </c>
      <c r="Q694" s="3">
        <v>60200.954460000001</v>
      </c>
      <c r="R694" s="3">
        <v>80060.582829313193</v>
      </c>
      <c r="S694" s="3">
        <v>18138.9375</v>
      </c>
      <c r="T694" s="3">
        <v>10304.415000000001</v>
      </c>
      <c r="U694" s="3">
        <v>10625.039999999999</v>
      </c>
      <c r="V694" s="3">
        <v>14249.808899999998</v>
      </c>
      <c r="W694" s="3">
        <v>0</v>
      </c>
      <c r="X694" s="3">
        <v>-127829.33868931318</v>
      </c>
      <c r="Y694" s="3">
        <v>0</v>
      </c>
      <c r="Z694" s="3">
        <v>20071.173600000006</v>
      </c>
      <c r="AA694" s="3">
        <v>-20071.173600000006</v>
      </c>
      <c r="AB694" s="3">
        <v>0</v>
      </c>
      <c r="AC694" s="3">
        <v>0</v>
      </c>
      <c r="AD694" s="3">
        <v>0</v>
      </c>
      <c r="AE694" s="3">
        <v>-147900.51228931319</v>
      </c>
      <c r="AF694" s="3">
        <v>0</v>
      </c>
      <c r="AG694" s="3">
        <v>-147900.51228931319</v>
      </c>
      <c r="AH694" s="3">
        <v>-147900.51228931319</v>
      </c>
      <c r="AI694" s="3">
        <v>405000</v>
      </c>
      <c r="AJ694" s="3">
        <v>-40500.000000000007</v>
      </c>
    </row>
    <row r="695" spans="1:36" x14ac:dyDescent="0.2">
      <c r="A695" s="3" t="s">
        <v>36</v>
      </c>
      <c r="B695" s="3" t="s">
        <v>65</v>
      </c>
      <c r="C695" s="3" t="s">
        <v>67</v>
      </c>
      <c r="D695" s="3">
        <v>1</v>
      </c>
      <c r="E695" s="3">
        <v>2023</v>
      </c>
      <c r="F695" s="3">
        <v>1</v>
      </c>
      <c r="G695" s="3" t="s">
        <v>48</v>
      </c>
      <c r="H695" s="3" t="s">
        <v>46</v>
      </c>
      <c r="I695" s="5">
        <v>5211656.2259999998</v>
      </c>
      <c r="J695" s="3">
        <v>176127</v>
      </c>
      <c r="K695" s="3">
        <v>5035529.2260000007</v>
      </c>
      <c r="L695" s="3">
        <v>2926530.2220000001</v>
      </c>
      <c r="M695" s="3">
        <v>2108999.0040000002</v>
      </c>
      <c r="N695" s="3">
        <v>2256244.6370047368</v>
      </c>
      <c r="O695" s="3">
        <f t="shared" si="11"/>
        <v>44.806504654069826</v>
      </c>
      <c r="P695" s="3">
        <v>466200</v>
      </c>
      <c r="Q695" s="3">
        <v>585505.9656600001</v>
      </c>
      <c r="R695" s="3">
        <v>858522.97234615381</v>
      </c>
      <c r="S695" s="3">
        <v>116437.125</v>
      </c>
      <c r="T695" s="3">
        <v>51482.466</v>
      </c>
      <c r="U695" s="3">
        <v>134465.2828585832</v>
      </c>
      <c r="V695" s="3">
        <v>43630.825140000001</v>
      </c>
      <c r="W695" s="3">
        <v>0</v>
      </c>
      <c r="X695" s="3">
        <v>-147245.63300473697</v>
      </c>
      <c r="Y695" s="3">
        <v>0</v>
      </c>
      <c r="Z695" s="3">
        <v>221686.0544222293</v>
      </c>
      <c r="AA695" s="3">
        <v>-221686.0544222293</v>
      </c>
      <c r="AB695" s="3">
        <v>3570</v>
      </c>
      <c r="AC695" s="3">
        <v>0</v>
      </c>
      <c r="AD695" s="3">
        <v>3570</v>
      </c>
      <c r="AE695" s="3">
        <v>-365361.68742696627</v>
      </c>
      <c r="AF695" s="3">
        <v>0</v>
      </c>
      <c r="AG695" s="3">
        <v>-365361.68742696627</v>
      </c>
      <c r="AH695" s="3">
        <v>-365361.68742696627</v>
      </c>
      <c r="AI695" s="3">
        <v>10080000</v>
      </c>
      <c r="AJ695" s="3">
        <v>168000</v>
      </c>
    </row>
    <row r="696" spans="1:36" x14ac:dyDescent="0.2">
      <c r="A696" s="3" t="s">
        <v>36</v>
      </c>
      <c r="B696" s="3" t="s">
        <v>65</v>
      </c>
      <c r="C696" s="3" t="s">
        <v>67</v>
      </c>
      <c r="D696" s="3">
        <v>3</v>
      </c>
      <c r="E696" s="3">
        <v>2023</v>
      </c>
      <c r="F696" s="3">
        <v>1</v>
      </c>
      <c r="G696" s="3" t="s">
        <v>48</v>
      </c>
      <c r="H696" s="3" t="s">
        <v>46</v>
      </c>
      <c r="I696" s="5">
        <v>6465117.0419999994</v>
      </c>
      <c r="J696" s="3">
        <v>341759.76399999997</v>
      </c>
      <c r="K696" s="3">
        <v>6123357.2779999999</v>
      </c>
      <c r="L696" s="3">
        <v>4232157.926</v>
      </c>
      <c r="M696" s="3">
        <v>1891199.3519999997</v>
      </c>
      <c r="N696" s="3">
        <v>2094971.2700365253</v>
      </c>
      <c r="O696" s="3">
        <f t="shared" si="11"/>
        <v>34.212788425123236</v>
      </c>
      <c r="P696" s="3">
        <v>421800</v>
      </c>
      <c r="Q696" s="3">
        <v>543666.64428999997</v>
      </c>
      <c r="R696" s="3">
        <v>713878.22200000007</v>
      </c>
      <c r="S696" s="3">
        <v>82460.475000000006</v>
      </c>
      <c r="T696" s="3">
        <v>21660.835999999999</v>
      </c>
      <c r="U696" s="3">
        <v>155575.53934652571</v>
      </c>
      <c r="V696" s="3">
        <v>155929.55339999998</v>
      </c>
      <c r="W696" s="3">
        <v>0</v>
      </c>
      <c r="X696" s="3">
        <v>-203771.91803652555</v>
      </c>
      <c r="Y696" s="3">
        <v>0</v>
      </c>
      <c r="Z696" s="3">
        <v>268235.31472809985</v>
      </c>
      <c r="AA696" s="3">
        <v>-268235.31472809985</v>
      </c>
      <c r="AB696" s="3">
        <v>1748</v>
      </c>
      <c r="AC696" s="3">
        <v>0</v>
      </c>
      <c r="AD696" s="3">
        <v>1748</v>
      </c>
      <c r="AE696" s="3">
        <v>-470259.23276462546</v>
      </c>
      <c r="AF696" s="3">
        <v>0</v>
      </c>
      <c r="AG696" s="3">
        <v>-470259.23276462546</v>
      </c>
      <c r="AH696" s="3">
        <v>-470259.23276462546</v>
      </c>
      <c r="AI696" s="3">
        <v>9500000</v>
      </c>
      <c r="AJ696" s="3">
        <v>190000</v>
      </c>
    </row>
    <row r="697" spans="1:36" x14ac:dyDescent="0.2">
      <c r="A697" s="3" t="s">
        <v>36</v>
      </c>
      <c r="B697" s="3" t="s">
        <v>65</v>
      </c>
      <c r="C697" s="3" t="s">
        <v>67</v>
      </c>
      <c r="D697" s="3">
        <v>2</v>
      </c>
      <c r="E697" s="3">
        <v>2023</v>
      </c>
      <c r="F697" s="3">
        <v>1</v>
      </c>
      <c r="G697" s="3" t="s">
        <v>48</v>
      </c>
      <c r="H697" s="3" t="s">
        <v>46</v>
      </c>
      <c r="I697" s="5">
        <v>15881296.354</v>
      </c>
      <c r="J697" s="3">
        <v>591208.35400000005</v>
      </c>
      <c r="K697" s="3">
        <v>15290088.000000004</v>
      </c>
      <c r="L697" s="3">
        <v>10022838.518000001</v>
      </c>
      <c r="M697" s="3">
        <v>5267249.4820000008</v>
      </c>
      <c r="N697" s="3">
        <v>2966057.5908143604</v>
      </c>
      <c r="O697" s="3">
        <f t="shared" si="11"/>
        <v>19.398564552501984</v>
      </c>
      <c r="P697" s="3">
        <v>488400.00000000006</v>
      </c>
      <c r="Q697" s="3">
        <v>629508.74602000008</v>
      </c>
      <c r="R697" s="3">
        <v>965471.32478608808</v>
      </c>
      <c r="S697" s="3">
        <v>106286.95</v>
      </c>
      <c r="T697" s="3">
        <v>124263.61200000001</v>
      </c>
      <c r="U697" s="3">
        <v>465287.48408827261</v>
      </c>
      <c r="V697" s="3">
        <v>186839.47392000002</v>
      </c>
      <c r="W697" s="3">
        <v>0</v>
      </c>
      <c r="X697" s="3">
        <v>2301191.8911856399</v>
      </c>
      <c r="Y697" s="3">
        <v>0</v>
      </c>
      <c r="Z697" s="3">
        <v>340660.23952185886</v>
      </c>
      <c r="AA697" s="3">
        <v>-340660.23952185886</v>
      </c>
      <c r="AB697" s="3">
        <v>15620.000000000002</v>
      </c>
      <c r="AC697" s="3">
        <v>0</v>
      </c>
      <c r="AD697" s="3">
        <v>15620.000000000002</v>
      </c>
      <c r="AE697" s="3">
        <v>1976151.6516637811</v>
      </c>
      <c r="AF697" s="3">
        <v>0</v>
      </c>
      <c r="AG697" s="3">
        <v>1976151.6516637811</v>
      </c>
      <c r="AH697" s="3">
        <v>1976151.6516637811</v>
      </c>
      <c r="AI697" s="3">
        <v>14300000</v>
      </c>
      <c r="AJ697" s="3">
        <v>242000.00000000003</v>
      </c>
    </row>
    <row r="698" spans="1:36" x14ac:dyDescent="0.2">
      <c r="A698" s="3" t="s">
        <v>36</v>
      </c>
      <c r="B698" s="3" t="s">
        <v>65</v>
      </c>
      <c r="C698" s="3" t="s">
        <v>67</v>
      </c>
      <c r="D698" s="3">
        <v>1</v>
      </c>
      <c r="E698" s="3">
        <v>2023</v>
      </c>
      <c r="F698" s="3">
        <v>1</v>
      </c>
      <c r="G698" s="3" t="s">
        <v>39</v>
      </c>
      <c r="H698" s="3" t="s">
        <v>46</v>
      </c>
      <c r="I698" s="5">
        <v>32659455</v>
      </c>
      <c r="J698" s="3">
        <v>0</v>
      </c>
      <c r="K698" s="3">
        <v>32659455</v>
      </c>
      <c r="L698" s="3">
        <v>32622592.5</v>
      </c>
      <c r="M698" s="3">
        <v>36862.5</v>
      </c>
      <c r="N698" s="3">
        <v>106844.07808899834</v>
      </c>
      <c r="O698" s="3">
        <f t="shared" si="11"/>
        <v>0.32714593090729271</v>
      </c>
      <c r="P698" s="3">
        <v>22500</v>
      </c>
      <c r="Q698" s="3">
        <v>32588.458200000001</v>
      </c>
      <c r="R698" s="3">
        <v>41434.506387362635</v>
      </c>
      <c r="S698" s="3">
        <v>6087.1875</v>
      </c>
      <c r="T698" s="3">
        <v>2484.6750000000002</v>
      </c>
      <c r="U698" s="3">
        <v>1048.7952516357168</v>
      </c>
      <c r="V698" s="3">
        <v>700.45575000000008</v>
      </c>
      <c r="W698" s="3">
        <v>0</v>
      </c>
      <c r="X698" s="3">
        <v>-69981.578088998343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-69981.578088998343</v>
      </c>
      <c r="AF698" s="3">
        <v>0</v>
      </c>
      <c r="AG698" s="3">
        <v>-69981.578088998343</v>
      </c>
      <c r="AH698" s="3">
        <v>-69981.578088998343</v>
      </c>
      <c r="AI698" s="3">
        <v>115159455</v>
      </c>
      <c r="AJ698" s="3">
        <v>-15000</v>
      </c>
    </row>
    <row r="699" spans="1:36" x14ac:dyDescent="0.2">
      <c r="A699" s="3" t="s">
        <v>36</v>
      </c>
      <c r="B699" s="3" t="s">
        <v>65</v>
      </c>
      <c r="C699" s="3" t="s">
        <v>67</v>
      </c>
      <c r="D699" s="3">
        <v>3</v>
      </c>
      <c r="E699" s="3">
        <v>2023</v>
      </c>
      <c r="F699" s="3">
        <v>1</v>
      </c>
      <c r="G699" s="3" t="s">
        <v>39</v>
      </c>
      <c r="H699" s="3" t="s">
        <v>46</v>
      </c>
      <c r="I699" s="5">
        <v>62646420.07</v>
      </c>
      <c r="J699" s="3">
        <v>0</v>
      </c>
      <c r="K699" s="3">
        <v>62646420.07</v>
      </c>
      <c r="L699" s="3">
        <v>62564825</v>
      </c>
      <c r="M699" s="3">
        <v>81595.070000004765</v>
      </c>
      <c r="N699" s="3">
        <v>185463.12526206329</v>
      </c>
      <c r="O699" s="3">
        <f t="shared" si="11"/>
        <v>0.29604744382014181</v>
      </c>
      <c r="P699" s="3">
        <v>37500</v>
      </c>
      <c r="Q699" s="3">
        <v>55741.624499999998</v>
      </c>
      <c r="R699" s="3">
        <v>63467.125000000007</v>
      </c>
      <c r="S699" s="3">
        <v>14045.3125</v>
      </c>
      <c r="T699" s="3">
        <v>1925.75</v>
      </c>
      <c r="U699" s="3">
        <v>1262.5757620632787</v>
      </c>
      <c r="V699" s="3">
        <v>11520.737499999999</v>
      </c>
      <c r="W699" s="3">
        <v>0</v>
      </c>
      <c r="X699" s="3">
        <v>-103868.05526205854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-103868.05526205854</v>
      </c>
      <c r="AF699" s="3">
        <v>0</v>
      </c>
      <c r="AG699" s="3">
        <v>-103868.05526205854</v>
      </c>
      <c r="AH699" s="3">
        <v>-103868.05526205854</v>
      </c>
      <c r="AI699" s="3">
        <v>62646420.07</v>
      </c>
      <c r="AJ699" s="3">
        <v>-50000</v>
      </c>
    </row>
    <row r="700" spans="1:36" x14ac:dyDescent="0.2">
      <c r="A700" s="3" t="s">
        <v>36</v>
      </c>
      <c r="B700" s="3" t="s">
        <v>65</v>
      </c>
      <c r="C700" s="3" t="s">
        <v>67</v>
      </c>
      <c r="D700" s="3">
        <v>2</v>
      </c>
      <c r="E700" s="3">
        <v>2023</v>
      </c>
      <c r="F700" s="3">
        <v>1</v>
      </c>
      <c r="G700" s="3" t="s">
        <v>39</v>
      </c>
      <c r="H700" s="3" t="s">
        <v>46</v>
      </c>
      <c r="I700" s="5">
        <v>104367904.25880001</v>
      </c>
      <c r="J700" s="3">
        <v>0</v>
      </c>
      <c r="K700" s="3">
        <v>104367904.25880001</v>
      </c>
      <c r="L700" s="3">
        <v>104240897.25</v>
      </c>
      <c r="M700" s="3">
        <v>127007.008800004</v>
      </c>
      <c r="N700" s="3">
        <v>171972.42474475974</v>
      </c>
      <c r="O700" s="3">
        <f t="shared" si="11"/>
        <v>0.16477520169258308</v>
      </c>
      <c r="P700" s="3">
        <v>31500</v>
      </c>
      <c r="Q700" s="3">
        <v>46822.964580000007</v>
      </c>
      <c r="R700" s="3">
        <v>62269.342200576932</v>
      </c>
      <c r="S700" s="3">
        <v>7871.0625</v>
      </c>
      <c r="T700" s="3">
        <v>8014.5450000000001</v>
      </c>
      <c r="U700" s="3">
        <v>4411.3257641827686</v>
      </c>
      <c r="V700" s="3">
        <v>11083.1847</v>
      </c>
      <c r="W700" s="3">
        <v>0</v>
      </c>
      <c r="X700" s="3">
        <v>-44965.415944755703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-44965.415944755703</v>
      </c>
      <c r="AF700" s="3">
        <v>0</v>
      </c>
      <c r="AG700" s="3">
        <v>-44965.415944755703</v>
      </c>
      <c r="AH700" s="3">
        <v>-44965.415944755703</v>
      </c>
      <c r="AI700" s="3">
        <v>104367904.25880001</v>
      </c>
      <c r="AJ700" s="3">
        <v>-21000</v>
      </c>
    </row>
    <row r="701" spans="1:36" x14ac:dyDescent="0.2">
      <c r="A701" s="3" t="s">
        <v>36</v>
      </c>
      <c r="B701" s="3" t="s">
        <v>65</v>
      </c>
      <c r="C701" s="3" t="s">
        <v>113</v>
      </c>
      <c r="D701" s="3">
        <v>1</v>
      </c>
      <c r="E701" s="3">
        <v>2023</v>
      </c>
      <c r="F701" s="3">
        <v>1</v>
      </c>
      <c r="G701" s="3" t="s">
        <v>42</v>
      </c>
      <c r="H701" s="3" t="s">
        <v>40</v>
      </c>
      <c r="I701" s="5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 t="e">
        <f t="shared" si="11"/>
        <v>#DIV/0!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</row>
    <row r="702" spans="1:36" x14ac:dyDescent="0.2">
      <c r="A702" s="3" t="s">
        <v>36</v>
      </c>
      <c r="B702" s="3" t="s">
        <v>65</v>
      </c>
      <c r="C702" s="3" t="s">
        <v>113</v>
      </c>
      <c r="D702" s="3">
        <v>1</v>
      </c>
      <c r="E702" s="3">
        <v>2023</v>
      </c>
      <c r="F702" s="3">
        <v>1</v>
      </c>
      <c r="G702" s="3" t="s">
        <v>48</v>
      </c>
      <c r="H702" s="3" t="s">
        <v>46</v>
      </c>
      <c r="I702" s="5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 t="e">
        <f t="shared" si="11"/>
        <v>#DIV/0!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</row>
    <row r="703" spans="1:36" x14ac:dyDescent="0.2">
      <c r="A703" s="3" t="s">
        <v>36</v>
      </c>
      <c r="B703" s="3" t="s">
        <v>65</v>
      </c>
      <c r="C703" s="3" t="s">
        <v>113</v>
      </c>
      <c r="D703" s="3">
        <v>1</v>
      </c>
      <c r="E703" s="3">
        <v>2023</v>
      </c>
      <c r="F703" s="3">
        <v>1</v>
      </c>
      <c r="G703" s="3" t="s">
        <v>39</v>
      </c>
      <c r="H703" s="3" t="s">
        <v>40</v>
      </c>
      <c r="I703" s="5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 t="e">
        <f t="shared" si="11"/>
        <v>#DIV/0!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</row>
    <row r="704" spans="1:36" x14ac:dyDescent="0.2">
      <c r="A704" s="3" t="s">
        <v>36</v>
      </c>
      <c r="B704" s="3" t="s">
        <v>65</v>
      </c>
      <c r="C704" s="3" t="s">
        <v>113</v>
      </c>
      <c r="D704" s="3">
        <v>2</v>
      </c>
      <c r="E704" s="3">
        <v>2023</v>
      </c>
      <c r="F704" s="3">
        <v>1</v>
      </c>
      <c r="G704" s="3" t="s">
        <v>42</v>
      </c>
      <c r="H704" s="3" t="s">
        <v>40</v>
      </c>
      <c r="I704" s="5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 t="e">
        <f t="shared" ref="O704:O767" si="12">N704/K704*100</f>
        <v>#DIV/0!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</row>
    <row r="705" spans="1:36" x14ac:dyDescent="0.2">
      <c r="A705" s="3" t="s">
        <v>36</v>
      </c>
      <c r="B705" s="3" t="s">
        <v>65</v>
      </c>
      <c r="C705" s="3" t="s">
        <v>113</v>
      </c>
      <c r="D705" s="3">
        <v>2</v>
      </c>
      <c r="E705" s="3">
        <v>2023</v>
      </c>
      <c r="F705" s="3">
        <v>1</v>
      </c>
      <c r="G705" s="3" t="s">
        <v>48</v>
      </c>
      <c r="H705" s="3" t="s">
        <v>46</v>
      </c>
      <c r="I705" s="5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 t="e">
        <f t="shared" si="12"/>
        <v>#DIV/0!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</row>
    <row r="706" spans="1:36" x14ac:dyDescent="0.2">
      <c r="A706" s="3" t="s">
        <v>36</v>
      </c>
      <c r="B706" s="3" t="s">
        <v>65</v>
      </c>
      <c r="C706" s="3" t="s">
        <v>113</v>
      </c>
      <c r="D706" s="3">
        <v>2</v>
      </c>
      <c r="E706" s="3">
        <v>2023</v>
      </c>
      <c r="F706" s="3">
        <v>1</v>
      </c>
      <c r="G706" s="3" t="s">
        <v>39</v>
      </c>
      <c r="H706" s="3" t="s">
        <v>40</v>
      </c>
      <c r="I706" s="5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 t="e">
        <f t="shared" si="12"/>
        <v>#DIV/0!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</row>
    <row r="707" spans="1:36" x14ac:dyDescent="0.2">
      <c r="A707" s="3" t="s">
        <v>36</v>
      </c>
      <c r="B707" s="3" t="s">
        <v>65</v>
      </c>
      <c r="C707" s="3" t="s">
        <v>113</v>
      </c>
      <c r="D707" s="3">
        <v>3</v>
      </c>
      <c r="E707" s="3">
        <v>2023</v>
      </c>
      <c r="F707" s="3">
        <v>1</v>
      </c>
      <c r="G707" s="3" t="s">
        <v>42</v>
      </c>
      <c r="H707" s="3" t="s">
        <v>40</v>
      </c>
      <c r="I707" s="5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 t="e">
        <f t="shared" si="12"/>
        <v>#DIV/0!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</row>
    <row r="708" spans="1:36" x14ac:dyDescent="0.2">
      <c r="A708" s="3" t="s">
        <v>36</v>
      </c>
      <c r="B708" s="3" t="s">
        <v>65</v>
      </c>
      <c r="C708" s="3" t="s">
        <v>113</v>
      </c>
      <c r="D708" s="3">
        <v>3</v>
      </c>
      <c r="E708" s="3">
        <v>2023</v>
      </c>
      <c r="F708" s="3">
        <v>1</v>
      </c>
      <c r="G708" s="3" t="s">
        <v>48</v>
      </c>
      <c r="H708" s="3" t="s">
        <v>46</v>
      </c>
      <c r="I708" s="5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 t="e">
        <f t="shared" si="12"/>
        <v>#DIV/0!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</row>
    <row r="709" spans="1:36" x14ac:dyDescent="0.2">
      <c r="A709" s="3" t="s">
        <v>36</v>
      </c>
      <c r="B709" s="3" t="s">
        <v>65</v>
      </c>
      <c r="C709" s="3" t="s">
        <v>113</v>
      </c>
      <c r="D709" s="3">
        <v>3</v>
      </c>
      <c r="E709" s="3">
        <v>2023</v>
      </c>
      <c r="F709" s="3">
        <v>1</v>
      </c>
      <c r="G709" s="3" t="s">
        <v>39</v>
      </c>
      <c r="H709" s="3" t="s">
        <v>40</v>
      </c>
      <c r="I709" s="5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 t="e">
        <f t="shared" si="12"/>
        <v>#DIV/0!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</row>
    <row r="710" spans="1:36" x14ac:dyDescent="0.2">
      <c r="A710" s="3" t="s">
        <v>36</v>
      </c>
      <c r="B710" s="3" t="s">
        <v>65</v>
      </c>
      <c r="C710" s="3" t="s">
        <v>113</v>
      </c>
      <c r="D710" s="3">
        <v>3</v>
      </c>
      <c r="E710" s="3">
        <v>2023</v>
      </c>
      <c r="F710" s="3">
        <v>1</v>
      </c>
      <c r="G710" s="3" t="s">
        <v>42</v>
      </c>
      <c r="H710" s="3" t="s">
        <v>46</v>
      </c>
      <c r="I710" s="5">
        <v>169750</v>
      </c>
      <c r="J710" s="3">
        <v>24575</v>
      </c>
      <c r="K710" s="3">
        <v>145175</v>
      </c>
      <c r="L710" s="3">
        <v>101850</v>
      </c>
      <c r="M710" s="3">
        <v>43325</v>
      </c>
      <c r="N710" s="3">
        <v>161712.1134102564</v>
      </c>
      <c r="O710" s="3">
        <f t="shared" si="12"/>
        <v>111.39115785104624</v>
      </c>
      <c r="P710" s="3">
        <v>34826.25</v>
      </c>
      <c r="Q710" s="3">
        <v>45763.946999999986</v>
      </c>
      <c r="R710" s="3">
        <v>55739.360576923078</v>
      </c>
      <c r="S710" s="3">
        <v>11192.708333333332</v>
      </c>
      <c r="T710" s="3">
        <v>1925.75</v>
      </c>
      <c r="U710" s="3">
        <v>4332.5</v>
      </c>
      <c r="V710" s="3">
        <v>7931.5974999999999</v>
      </c>
      <c r="W710" s="3">
        <v>0</v>
      </c>
      <c r="X710" s="3">
        <v>-118387.11341025641</v>
      </c>
      <c r="Y710" s="3">
        <v>0</v>
      </c>
      <c r="Z710" s="3">
        <v>18124.090000000004</v>
      </c>
      <c r="AA710" s="3">
        <v>-18124.090000000004</v>
      </c>
      <c r="AB710" s="3">
        <v>0</v>
      </c>
      <c r="AC710" s="3">
        <v>0</v>
      </c>
      <c r="AD710" s="3">
        <v>0</v>
      </c>
      <c r="AE710" s="3">
        <v>-136511.20341025645</v>
      </c>
      <c r="AF710" s="3">
        <v>0</v>
      </c>
      <c r="AG710" s="3">
        <v>-136511.20341025645</v>
      </c>
      <c r="AH710" s="3">
        <v>-136511.20341025645</v>
      </c>
      <c r="AI710" s="3">
        <v>250000</v>
      </c>
      <c r="AJ710" s="3">
        <v>-25000</v>
      </c>
    </row>
    <row r="711" spans="1:36" x14ac:dyDescent="0.2">
      <c r="A711" s="3" t="s">
        <v>36</v>
      </c>
      <c r="B711" s="3" t="s">
        <v>65</v>
      </c>
      <c r="C711" s="3" t="s">
        <v>113</v>
      </c>
      <c r="D711" s="3">
        <v>1</v>
      </c>
      <c r="E711" s="3">
        <v>2023</v>
      </c>
      <c r="F711" s="3">
        <v>1</v>
      </c>
      <c r="G711" s="3" t="s">
        <v>42</v>
      </c>
      <c r="H711" s="3" t="s">
        <v>46</v>
      </c>
      <c r="I711" s="5">
        <v>201320</v>
      </c>
      <c r="J711" s="3">
        <v>5980</v>
      </c>
      <c r="K711" s="3">
        <v>195340</v>
      </c>
      <c r="L711" s="3">
        <v>120792</v>
      </c>
      <c r="M711" s="3">
        <v>74548</v>
      </c>
      <c r="N711" s="3">
        <v>112241.04002047109</v>
      </c>
      <c r="O711" s="3">
        <f t="shared" si="12"/>
        <v>57.459322217912913</v>
      </c>
      <c r="P711" s="3">
        <v>13930.5</v>
      </c>
      <c r="Q711" s="3">
        <v>18158.853599999999</v>
      </c>
      <c r="R711" s="3">
        <v>44715.662362637369</v>
      </c>
      <c r="S711" s="3">
        <v>14554.166666666668</v>
      </c>
      <c r="T711" s="3">
        <v>3312.9</v>
      </c>
      <c r="U711" s="3">
        <v>7495.6973911670675</v>
      </c>
      <c r="V711" s="3">
        <v>10073.26</v>
      </c>
      <c r="W711" s="3">
        <v>0</v>
      </c>
      <c r="X711" s="3">
        <v>-37693.040020471082</v>
      </c>
      <c r="Y711" s="3">
        <v>0</v>
      </c>
      <c r="Z711" s="3">
        <v>15435.116</v>
      </c>
      <c r="AA711" s="3">
        <v>-15435.116</v>
      </c>
      <c r="AB711" s="3">
        <v>0</v>
      </c>
      <c r="AC711" s="3">
        <v>0</v>
      </c>
      <c r="AD711" s="3">
        <v>0</v>
      </c>
      <c r="AE711" s="3">
        <v>-53128.156020471077</v>
      </c>
      <c r="AF711" s="3">
        <v>0</v>
      </c>
      <c r="AG711" s="3">
        <v>-53128.156020471077</v>
      </c>
      <c r="AH711" s="3">
        <v>-53128.156020471077</v>
      </c>
      <c r="AI711" s="3">
        <v>300000</v>
      </c>
      <c r="AJ711" s="3">
        <v>-30000</v>
      </c>
    </row>
    <row r="712" spans="1:36" x14ac:dyDescent="0.2">
      <c r="A712" s="3" t="s">
        <v>36</v>
      </c>
      <c r="B712" s="3" t="s">
        <v>65</v>
      </c>
      <c r="C712" s="3" t="s">
        <v>113</v>
      </c>
      <c r="D712" s="3">
        <v>2</v>
      </c>
      <c r="E712" s="3">
        <v>2023</v>
      </c>
      <c r="F712" s="3">
        <v>1</v>
      </c>
      <c r="G712" s="3" t="s">
        <v>42</v>
      </c>
      <c r="H712" s="3" t="s">
        <v>46</v>
      </c>
      <c r="I712" s="5">
        <v>424350</v>
      </c>
      <c r="J712" s="3">
        <v>0</v>
      </c>
      <c r="K712" s="3">
        <v>424350</v>
      </c>
      <c r="L712" s="3">
        <v>254610</v>
      </c>
      <c r="M712" s="3">
        <v>169740</v>
      </c>
      <c r="N712" s="3">
        <v>106081.09969404762</v>
      </c>
      <c r="O712" s="3">
        <f t="shared" si="12"/>
        <v>24.998491738906001</v>
      </c>
      <c r="P712" s="3">
        <v>13930.5</v>
      </c>
      <c r="Q712" s="3">
        <v>18305.578799999999</v>
      </c>
      <c r="R712" s="3">
        <v>25257.471560714293</v>
      </c>
      <c r="S712" s="3">
        <v>22387.083333333336</v>
      </c>
      <c r="T712" s="3">
        <v>3816.45</v>
      </c>
      <c r="U712" s="3">
        <v>16974</v>
      </c>
      <c r="V712" s="3">
        <v>5410.0160000000005</v>
      </c>
      <c r="W712" s="3">
        <v>0</v>
      </c>
      <c r="X712" s="3">
        <v>63658.900305952375</v>
      </c>
      <c r="Y712" s="3">
        <v>0</v>
      </c>
      <c r="Z712" s="3">
        <v>7433.768</v>
      </c>
      <c r="AA712" s="3">
        <v>-7433.768</v>
      </c>
      <c r="AB712" s="3">
        <v>0</v>
      </c>
      <c r="AC712" s="3">
        <v>0</v>
      </c>
      <c r="AD712" s="3">
        <v>0</v>
      </c>
      <c r="AE712" s="3">
        <v>56225.132305952371</v>
      </c>
      <c r="AF712" s="3">
        <v>0</v>
      </c>
      <c r="AG712" s="3">
        <v>56225.132305952371</v>
      </c>
      <c r="AH712" s="3">
        <v>56225.132305952371</v>
      </c>
      <c r="AI712" s="3">
        <v>250000</v>
      </c>
      <c r="AJ712" s="3">
        <v>-35000</v>
      </c>
    </row>
    <row r="713" spans="1:36" x14ac:dyDescent="0.2">
      <c r="A713" s="3" t="s">
        <v>36</v>
      </c>
      <c r="B713" s="3" t="s">
        <v>65</v>
      </c>
      <c r="C713" s="3" t="s">
        <v>113</v>
      </c>
      <c r="D713" s="3">
        <v>3</v>
      </c>
      <c r="E713" s="3">
        <v>2023</v>
      </c>
      <c r="F713" s="3">
        <v>1</v>
      </c>
      <c r="G713" s="3" t="s">
        <v>48</v>
      </c>
      <c r="H713" s="3" t="s">
        <v>46</v>
      </c>
      <c r="I713" s="5">
        <v>3569293</v>
      </c>
      <c r="J713" s="3">
        <v>96045.3</v>
      </c>
      <c r="K713" s="3">
        <v>3473247.7</v>
      </c>
      <c r="L713" s="3">
        <v>2400788.2340000002</v>
      </c>
      <c r="M713" s="3">
        <v>1072459.466</v>
      </c>
      <c r="N713" s="3">
        <v>1225162.4393086683</v>
      </c>
      <c r="O713" s="3">
        <f t="shared" si="12"/>
        <v>35.274260436670502</v>
      </c>
      <c r="P713" s="3">
        <v>268022.82</v>
      </c>
      <c r="Q713" s="3">
        <v>305398.07298000006</v>
      </c>
      <c r="R713" s="3">
        <v>428970.11899999995</v>
      </c>
      <c r="S713" s="3">
        <v>42303.083333333336</v>
      </c>
      <c r="T713" s="3">
        <v>14820.572</v>
      </c>
      <c r="U713" s="3">
        <v>88223.623635334749</v>
      </c>
      <c r="V713" s="3">
        <v>77424.148360000007</v>
      </c>
      <c r="W713" s="3">
        <v>0</v>
      </c>
      <c r="X713" s="3">
        <v>-152702.97330866812</v>
      </c>
      <c r="Y713" s="3">
        <v>0</v>
      </c>
      <c r="Z713" s="3">
        <v>186192.84491369018</v>
      </c>
      <c r="AA713" s="3">
        <v>-186192.84491369018</v>
      </c>
      <c r="AB713" s="3">
        <v>3081</v>
      </c>
      <c r="AC713" s="3">
        <v>0</v>
      </c>
      <c r="AD713" s="3">
        <v>3081</v>
      </c>
      <c r="AE713" s="3">
        <v>-335814.8182223583</v>
      </c>
      <c r="AF713" s="3">
        <v>0</v>
      </c>
      <c r="AG713" s="3">
        <v>-335814.8182223583</v>
      </c>
      <c r="AH713" s="3">
        <v>-335814.8182223583</v>
      </c>
      <c r="AI713" s="3">
        <v>5200000</v>
      </c>
      <c r="AJ713" s="3">
        <v>117000</v>
      </c>
    </row>
    <row r="714" spans="1:36" x14ac:dyDescent="0.2">
      <c r="A714" s="3" t="s">
        <v>36</v>
      </c>
      <c r="B714" s="3" t="s">
        <v>65</v>
      </c>
      <c r="C714" s="3" t="s">
        <v>113</v>
      </c>
      <c r="D714" s="3">
        <v>2</v>
      </c>
      <c r="E714" s="3">
        <v>2023</v>
      </c>
      <c r="F714" s="3">
        <v>1</v>
      </c>
      <c r="G714" s="3" t="s">
        <v>48</v>
      </c>
      <c r="H714" s="3" t="s">
        <v>46</v>
      </c>
      <c r="I714" s="5">
        <v>5327003</v>
      </c>
      <c r="J714" s="3">
        <v>143319</v>
      </c>
      <c r="K714" s="3">
        <v>5183684.0000000009</v>
      </c>
      <c r="L714" s="3">
        <v>3616005.503</v>
      </c>
      <c r="M714" s="3">
        <v>1567678.4970000002</v>
      </c>
      <c r="N714" s="3">
        <v>1229028.5877114229</v>
      </c>
      <c r="O714" s="3">
        <f t="shared" si="12"/>
        <v>23.709558447455954</v>
      </c>
      <c r="P714" s="3">
        <v>226788.53999999998</v>
      </c>
      <c r="Q714" s="3">
        <v>258413.75406000006</v>
      </c>
      <c r="R714" s="3">
        <v>411191.63700842869</v>
      </c>
      <c r="S714" s="3">
        <v>36930.116666666661</v>
      </c>
      <c r="T714" s="3">
        <v>62131.806000000004</v>
      </c>
      <c r="U714" s="3">
        <v>138482.3684963276</v>
      </c>
      <c r="V714" s="3">
        <v>95090.365480000008</v>
      </c>
      <c r="W714" s="3">
        <v>0</v>
      </c>
      <c r="X714" s="3">
        <v>338649.9092885771</v>
      </c>
      <c r="Y714" s="3">
        <v>0</v>
      </c>
      <c r="Z714" s="3">
        <v>199499.0464692899</v>
      </c>
      <c r="AA714" s="3">
        <v>-199499.0464692899</v>
      </c>
      <c r="AB714" s="3">
        <v>5060.0000000000009</v>
      </c>
      <c r="AC714" s="3">
        <v>0</v>
      </c>
      <c r="AD714" s="3">
        <v>5060.0000000000009</v>
      </c>
      <c r="AE714" s="3">
        <v>144210.86281928723</v>
      </c>
      <c r="AF714" s="3">
        <v>0</v>
      </c>
      <c r="AG714" s="3">
        <v>144210.86281928723</v>
      </c>
      <c r="AH714" s="3">
        <v>144210.86281928723</v>
      </c>
      <c r="AI714" s="3">
        <v>5280000.0000000009</v>
      </c>
      <c r="AJ714" s="3">
        <v>99000</v>
      </c>
    </row>
    <row r="715" spans="1:36" x14ac:dyDescent="0.2">
      <c r="A715" s="3" t="s">
        <v>36</v>
      </c>
      <c r="B715" s="3" t="s">
        <v>65</v>
      </c>
      <c r="C715" s="3" t="s">
        <v>113</v>
      </c>
      <c r="D715" s="3">
        <v>1</v>
      </c>
      <c r="E715" s="3">
        <v>2023</v>
      </c>
      <c r="F715" s="3">
        <v>1</v>
      </c>
      <c r="G715" s="3" t="s">
        <v>48</v>
      </c>
      <c r="H715" s="3" t="s">
        <v>46</v>
      </c>
      <c r="I715" s="5">
        <v>19638871.999999996</v>
      </c>
      <c r="J715" s="3">
        <v>1752784</v>
      </c>
      <c r="K715" s="3">
        <v>17886088</v>
      </c>
      <c r="L715" s="3">
        <v>13527254.890999999</v>
      </c>
      <c r="M715" s="3">
        <v>4358833.1090000002</v>
      </c>
      <c r="N715" s="3">
        <v>1917534.6693388468</v>
      </c>
      <c r="O715" s="3">
        <f t="shared" si="12"/>
        <v>10.720816476687618</v>
      </c>
      <c r="P715" s="3">
        <v>237097.11</v>
      </c>
      <c r="Q715" s="3">
        <v>267994.41438000003</v>
      </c>
      <c r="R715" s="3">
        <v>761060.57341208786</v>
      </c>
      <c r="S715" s="3">
        <v>120351.71666666663</v>
      </c>
      <c r="T715" s="3">
        <v>56385.558000000005</v>
      </c>
      <c r="U715" s="3">
        <v>277909.91168009234</v>
      </c>
      <c r="V715" s="3">
        <v>196735.38519999999</v>
      </c>
      <c r="W715" s="3">
        <v>0</v>
      </c>
      <c r="X715" s="3">
        <v>2441298.4396611527</v>
      </c>
      <c r="Y715" s="3">
        <v>0</v>
      </c>
      <c r="Z715" s="3">
        <v>146495.84699365665</v>
      </c>
      <c r="AA715" s="3">
        <v>-146495.84699365665</v>
      </c>
      <c r="AB715" s="3">
        <v>21850</v>
      </c>
      <c r="AC715" s="3">
        <v>0</v>
      </c>
      <c r="AD715" s="3">
        <v>21850</v>
      </c>
      <c r="AE715" s="3">
        <v>2316652.5926674958</v>
      </c>
      <c r="AF715" s="3">
        <v>0</v>
      </c>
      <c r="AG715" s="3">
        <v>2316652.5926674958</v>
      </c>
      <c r="AH715" s="3">
        <v>2316652.5926674958</v>
      </c>
      <c r="AI715" s="3">
        <v>9659999.9999999981</v>
      </c>
      <c r="AJ715" s="3">
        <v>184000</v>
      </c>
    </row>
    <row r="716" spans="1:36" x14ac:dyDescent="0.2">
      <c r="A716" s="3" t="s">
        <v>36</v>
      </c>
      <c r="B716" s="3" t="s">
        <v>65</v>
      </c>
      <c r="C716" s="3" t="s">
        <v>113</v>
      </c>
      <c r="D716" s="3">
        <v>3</v>
      </c>
      <c r="E716" s="3">
        <v>2023</v>
      </c>
      <c r="F716" s="3">
        <v>1</v>
      </c>
      <c r="G716" s="3" t="s">
        <v>39</v>
      </c>
      <c r="H716" s="3" t="s">
        <v>46</v>
      </c>
      <c r="I716" s="5">
        <v>21058397.830800001</v>
      </c>
      <c r="J716" s="3">
        <v>0</v>
      </c>
      <c r="K716" s="3">
        <v>21058397.830800001</v>
      </c>
      <c r="L716" s="3">
        <v>21028480.000000004</v>
      </c>
      <c r="M716" s="3">
        <v>29917.830799999479</v>
      </c>
      <c r="N716" s="3">
        <v>75869.968752352652</v>
      </c>
      <c r="O716" s="3">
        <f t="shared" si="12"/>
        <v>0.36028367097037783</v>
      </c>
      <c r="P716" s="3">
        <v>15323.550000000003</v>
      </c>
      <c r="Q716" s="3">
        <v>20136.13668</v>
      </c>
      <c r="R716" s="3">
        <v>24525.318653846156</v>
      </c>
      <c r="S716" s="3">
        <v>11084.791666666668</v>
      </c>
      <c r="T716" s="3">
        <v>847.33</v>
      </c>
      <c r="U716" s="3">
        <v>462.93885183982593</v>
      </c>
      <c r="V716" s="3">
        <v>3489.9029</v>
      </c>
      <c r="W716" s="3">
        <v>0</v>
      </c>
      <c r="X716" s="3">
        <v>-45952.137952353165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-45952.137952353165</v>
      </c>
      <c r="AF716" s="3">
        <v>0</v>
      </c>
      <c r="AG716" s="3">
        <v>-45952.137952353165</v>
      </c>
      <c r="AH716" s="3">
        <v>-45952.137952353165</v>
      </c>
      <c r="AI716" s="3">
        <v>21058397.830800001</v>
      </c>
      <c r="AJ716" s="3">
        <v>-33000.000000000007</v>
      </c>
    </row>
    <row r="717" spans="1:36" x14ac:dyDescent="0.2">
      <c r="A717" s="3" t="s">
        <v>36</v>
      </c>
      <c r="B717" s="3" t="s">
        <v>65</v>
      </c>
      <c r="C717" s="3" t="s">
        <v>113</v>
      </c>
      <c r="D717" s="3">
        <v>1</v>
      </c>
      <c r="E717" s="3">
        <v>2023</v>
      </c>
      <c r="F717" s="3">
        <v>1</v>
      </c>
      <c r="G717" s="3" t="s">
        <v>39</v>
      </c>
      <c r="H717" s="3" t="s">
        <v>46</v>
      </c>
      <c r="I717" s="5">
        <v>32318060</v>
      </c>
      <c r="J717" s="3">
        <v>0</v>
      </c>
      <c r="K717" s="3">
        <v>32318060</v>
      </c>
      <c r="L717" s="3">
        <v>32281260</v>
      </c>
      <c r="M717" s="3">
        <v>36800</v>
      </c>
      <c r="N717" s="3">
        <v>105952.35965908211</v>
      </c>
      <c r="O717" s="3">
        <f t="shared" si="12"/>
        <v>0.32784257365411817</v>
      </c>
      <c r="P717" s="3">
        <v>13930.5</v>
      </c>
      <c r="Q717" s="3">
        <v>18158.853599999999</v>
      </c>
      <c r="R717" s="3">
        <v>44715.662362637369</v>
      </c>
      <c r="S717" s="3">
        <v>14714.166666666668</v>
      </c>
      <c r="T717" s="3">
        <v>3312.9</v>
      </c>
      <c r="U717" s="3">
        <v>1047.0170297780774</v>
      </c>
      <c r="V717" s="3">
        <v>10073.26</v>
      </c>
      <c r="W717" s="3">
        <v>0</v>
      </c>
      <c r="X717" s="3">
        <v>-69152.359659082111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-69152.359659082111</v>
      </c>
      <c r="AF717" s="3">
        <v>0</v>
      </c>
      <c r="AG717" s="3">
        <v>-69152.359659082111</v>
      </c>
      <c r="AH717" s="3">
        <v>-69152.359659082111</v>
      </c>
      <c r="AI717" s="3">
        <v>122318060</v>
      </c>
      <c r="AJ717" s="3">
        <v>-40000</v>
      </c>
    </row>
    <row r="718" spans="1:36" x14ac:dyDescent="0.2">
      <c r="A718" s="3" t="s">
        <v>36</v>
      </c>
      <c r="B718" s="3" t="s">
        <v>65</v>
      </c>
      <c r="C718" s="3" t="s">
        <v>113</v>
      </c>
      <c r="D718" s="3">
        <v>2</v>
      </c>
      <c r="E718" s="3">
        <v>2023</v>
      </c>
      <c r="F718" s="3">
        <v>1</v>
      </c>
      <c r="G718" s="3" t="s">
        <v>39</v>
      </c>
      <c r="H718" s="3" t="s">
        <v>46</v>
      </c>
      <c r="I718" s="5">
        <v>75912222.786400005</v>
      </c>
      <c r="J718" s="3">
        <v>0</v>
      </c>
      <c r="K718" s="3">
        <v>75912222.786400005</v>
      </c>
      <c r="L718" s="3">
        <v>75820176.900000006</v>
      </c>
      <c r="M718" s="3">
        <v>92045.886400002491</v>
      </c>
      <c r="N718" s="3">
        <v>105386.25308938904</v>
      </c>
      <c r="O718" s="3">
        <f t="shared" si="12"/>
        <v>0.13882646195978526</v>
      </c>
      <c r="P718" s="3">
        <v>18109.649999999998</v>
      </c>
      <c r="Q718" s="3">
        <v>23797.252439999997</v>
      </c>
      <c r="R718" s="3">
        <v>32834.713028928585</v>
      </c>
      <c r="S718" s="3">
        <v>15453.208333333332</v>
      </c>
      <c r="T718" s="3">
        <v>4961.3850000000002</v>
      </c>
      <c r="U718" s="3">
        <v>3197.0234871271159</v>
      </c>
      <c r="V718" s="3">
        <v>7033.0208000000021</v>
      </c>
      <c r="W718" s="3">
        <v>0</v>
      </c>
      <c r="X718" s="3">
        <v>-13340.366689386552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-13340.366689386552</v>
      </c>
      <c r="AF718" s="3">
        <v>0</v>
      </c>
      <c r="AG718" s="3">
        <v>-13340.366689386552</v>
      </c>
      <c r="AH718" s="3">
        <v>-13340.366689386552</v>
      </c>
      <c r="AI718" s="3">
        <v>75912222.786400005</v>
      </c>
      <c r="AJ718" s="3">
        <v>-39000</v>
      </c>
    </row>
    <row r="719" spans="1:36" x14ac:dyDescent="0.2">
      <c r="A719" s="3" t="s">
        <v>36</v>
      </c>
      <c r="B719" s="3" t="s">
        <v>114</v>
      </c>
      <c r="C719" s="3" t="s">
        <v>115</v>
      </c>
      <c r="D719" s="3">
        <v>1</v>
      </c>
      <c r="E719" s="3">
        <v>2023</v>
      </c>
      <c r="F719" s="3">
        <v>1</v>
      </c>
      <c r="G719" s="3" t="s">
        <v>42</v>
      </c>
      <c r="H719" s="3" t="s">
        <v>40</v>
      </c>
      <c r="I719" s="5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 t="e">
        <f t="shared" si="12"/>
        <v>#DIV/0!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</row>
    <row r="720" spans="1:36" x14ac:dyDescent="0.2">
      <c r="A720" s="3" t="s">
        <v>36</v>
      </c>
      <c r="B720" s="3" t="s">
        <v>114</v>
      </c>
      <c r="C720" s="3" t="s">
        <v>115</v>
      </c>
      <c r="D720" s="3">
        <v>1</v>
      </c>
      <c r="E720" s="3">
        <v>2023</v>
      </c>
      <c r="F720" s="3">
        <v>1</v>
      </c>
      <c r="G720" s="3" t="s">
        <v>48</v>
      </c>
      <c r="H720" s="3" t="s">
        <v>46</v>
      </c>
      <c r="I720" s="5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 t="e">
        <f t="shared" si="12"/>
        <v>#DIV/0!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</row>
    <row r="721" spans="1:36" x14ac:dyDescent="0.2">
      <c r="A721" s="3" t="s">
        <v>36</v>
      </c>
      <c r="B721" s="3" t="s">
        <v>114</v>
      </c>
      <c r="C721" s="3" t="s">
        <v>115</v>
      </c>
      <c r="D721" s="3">
        <v>1</v>
      </c>
      <c r="E721" s="3">
        <v>2023</v>
      </c>
      <c r="F721" s="3">
        <v>1</v>
      </c>
      <c r="G721" s="3" t="s">
        <v>39</v>
      </c>
      <c r="H721" s="3" t="s">
        <v>40</v>
      </c>
      <c r="I721" s="5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 t="e">
        <f t="shared" si="12"/>
        <v>#DIV/0!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</row>
    <row r="722" spans="1:36" x14ac:dyDescent="0.2">
      <c r="A722" s="3" t="s">
        <v>36</v>
      </c>
      <c r="B722" s="3" t="s">
        <v>114</v>
      </c>
      <c r="C722" s="3" t="s">
        <v>115</v>
      </c>
      <c r="D722" s="3">
        <v>2</v>
      </c>
      <c r="E722" s="3">
        <v>2023</v>
      </c>
      <c r="F722" s="3">
        <v>1</v>
      </c>
      <c r="G722" s="3" t="s">
        <v>42</v>
      </c>
      <c r="H722" s="3" t="s">
        <v>40</v>
      </c>
      <c r="I722" s="5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 t="e">
        <f t="shared" si="12"/>
        <v>#DIV/0!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</row>
    <row r="723" spans="1:36" x14ac:dyDescent="0.2">
      <c r="A723" s="3" t="s">
        <v>36</v>
      </c>
      <c r="B723" s="3" t="s">
        <v>114</v>
      </c>
      <c r="C723" s="3" t="s">
        <v>115</v>
      </c>
      <c r="D723" s="3">
        <v>2</v>
      </c>
      <c r="E723" s="3">
        <v>2023</v>
      </c>
      <c r="F723" s="3">
        <v>1</v>
      </c>
      <c r="G723" s="3" t="s">
        <v>48</v>
      </c>
      <c r="H723" s="3" t="s">
        <v>46</v>
      </c>
      <c r="I723" s="5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 t="e">
        <f t="shared" si="12"/>
        <v>#DIV/0!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</row>
    <row r="724" spans="1:36" x14ac:dyDescent="0.2">
      <c r="A724" s="3" t="s">
        <v>36</v>
      </c>
      <c r="B724" s="3" t="s">
        <v>114</v>
      </c>
      <c r="C724" s="3" t="s">
        <v>115</v>
      </c>
      <c r="D724" s="3">
        <v>2</v>
      </c>
      <c r="E724" s="3">
        <v>2023</v>
      </c>
      <c r="F724" s="3">
        <v>1</v>
      </c>
      <c r="G724" s="3" t="s">
        <v>39</v>
      </c>
      <c r="H724" s="3" t="s">
        <v>40</v>
      </c>
      <c r="I724" s="5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 t="e">
        <f t="shared" si="12"/>
        <v>#DIV/0!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</row>
    <row r="725" spans="1:36" x14ac:dyDescent="0.2">
      <c r="A725" s="3" t="s">
        <v>36</v>
      </c>
      <c r="B725" s="3" t="s">
        <v>114</v>
      </c>
      <c r="C725" s="3" t="s">
        <v>115</v>
      </c>
      <c r="D725" s="3">
        <v>3</v>
      </c>
      <c r="E725" s="3">
        <v>2023</v>
      </c>
      <c r="F725" s="3">
        <v>1</v>
      </c>
      <c r="G725" s="3" t="s">
        <v>42</v>
      </c>
      <c r="H725" s="3" t="s">
        <v>40</v>
      </c>
      <c r="I725" s="5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 t="e">
        <f t="shared" si="12"/>
        <v>#DIV/0!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</row>
    <row r="726" spans="1:36" x14ac:dyDescent="0.2">
      <c r="A726" s="3" t="s">
        <v>36</v>
      </c>
      <c r="B726" s="3" t="s">
        <v>114</v>
      </c>
      <c r="C726" s="3" t="s">
        <v>115</v>
      </c>
      <c r="D726" s="3">
        <v>3</v>
      </c>
      <c r="E726" s="3">
        <v>2023</v>
      </c>
      <c r="F726" s="3">
        <v>1</v>
      </c>
      <c r="G726" s="3" t="s">
        <v>48</v>
      </c>
      <c r="H726" s="3" t="s">
        <v>46</v>
      </c>
      <c r="I726" s="5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 t="e">
        <f t="shared" si="12"/>
        <v>#DIV/0!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</row>
    <row r="727" spans="1:36" x14ac:dyDescent="0.2">
      <c r="A727" s="3" t="s">
        <v>36</v>
      </c>
      <c r="B727" s="3" t="s">
        <v>114</v>
      </c>
      <c r="C727" s="3" t="s">
        <v>115</v>
      </c>
      <c r="D727" s="3">
        <v>3</v>
      </c>
      <c r="E727" s="3">
        <v>2023</v>
      </c>
      <c r="F727" s="3">
        <v>1</v>
      </c>
      <c r="G727" s="3" t="s">
        <v>39</v>
      </c>
      <c r="H727" s="3" t="s">
        <v>40</v>
      </c>
      <c r="I727" s="5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 t="e">
        <f t="shared" si="12"/>
        <v>#DIV/0!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</row>
    <row r="728" spans="1:36" x14ac:dyDescent="0.2">
      <c r="A728" s="3" t="s">
        <v>36</v>
      </c>
      <c r="B728" s="3" t="s">
        <v>114</v>
      </c>
      <c r="C728" s="3" t="s">
        <v>115</v>
      </c>
      <c r="D728" s="3">
        <v>1</v>
      </c>
      <c r="E728" s="3">
        <v>2023</v>
      </c>
      <c r="F728" s="3">
        <v>1</v>
      </c>
      <c r="G728" s="3" t="s">
        <v>42</v>
      </c>
      <c r="H728" s="3" t="s">
        <v>46</v>
      </c>
      <c r="I728" s="5">
        <v>66450</v>
      </c>
      <c r="J728" s="3">
        <v>0</v>
      </c>
      <c r="K728" s="3">
        <v>66450</v>
      </c>
      <c r="L728" s="3">
        <v>39870</v>
      </c>
      <c r="M728" s="3">
        <v>26580</v>
      </c>
      <c r="N728" s="3">
        <v>141967.597125</v>
      </c>
      <c r="O728" s="3">
        <f t="shared" si="12"/>
        <v>213.64574435665915</v>
      </c>
      <c r="P728" s="3">
        <v>20833.333124999997</v>
      </c>
      <c r="Q728" s="3">
        <v>30202.710750000002</v>
      </c>
      <c r="R728" s="3">
        <v>56077.103249999993</v>
      </c>
      <c r="S728" s="3">
        <v>17501.25</v>
      </c>
      <c r="T728" s="3">
        <v>1310.625</v>
      </c>
      <c r="U728" s="3">
        <v>2658</v>
      </c>
      <c r="V728" s="3">
        <v>13384.575000000001</v>
      </c>
      <c r="W728" s="3">
        <v>0</v>
      </c>
      <c r="X728" s="3">
        <v>-115387.597125</v>
      </c>
      <c r="Y728" s="3">
        <v>0</v>
      </c>
      <c r="Z728" s="3">
        <v>8881.380000000001</v>
      </c>
      <c r="AA728" s="3">
        <v>-8881.380000000001</v>
      </c>
      <c r="AB728" s="3">
        <v>0</v>
      </c>
      <c r="AC728" s="3">
        <v>0</v>
      </c>
      <c r="AD728" s="3">
        <v>0</v>
      </c>
      <c r="AE728" s="3">
        <v>-124268.97712499998</v>
      </c>
      <c r="AF728" s="3">
        <v>0</v>
      </c>
      <c r="AG728" s="3">
        <v>-124268.97712499998</v>
      </c>
      <c r="AH728" s="3">
        <v>-124268.97712499998</v>
      </c>
      <c r="AI728" s="3">
        <v>0</v>
      </c>
      <c r="AJ728" s="3">
        <v>0</v>
      </c>
    </row>
    <row r="729" spans="1:36" x14ac:dyDescent="0.2">
      <c r="A729" s="3" t="s">
        <v>36</v>
      </c>
      <c r="B729" s="3" t="s">
        <v>114</v>
      </c>
      <c r="C729" s="3" t="s">
        <v>115</v>
      </c>
      <c r="D729" s="3">
        <v>2</v>
      </c>
      <c r="E729" s="3">
        <v>2023</v>
      </c>
      <c r="F729" s="3">
        <v>1</v>
      </c>
      <c r="G729" s="3" t="s">
        <v>42</v>
      </c>
      <c r="H729" s="3" t="s">
        <v>46</v>
      </c>
      <c r="I729" s="5">
        <v>111960</v>
      </c>
      <c r="J729" s="3">
        <v>11700</v>
      </c>
      <c r="K729" s="3">
        <v>100260</v>
      </c>
      <c r="L729" s="3">
        <v>67176</v>
      </c>
      <c r="M729" s="3">
        <v>33084</v>
      </c>
      <c r="N729" s="3">
        <v>171147.49515</v>
      </c>
      <c r="O729" s="3">
        <f t="shared" si="12"/>
        <v>170.7036656193896</v>
      </c>
      <c r="P729" s="3">
        <v>24999.999750000003</v>
      </c>
      <c r="Q729" s="3">
        <v>55147.752900000014</v>
      </c>
      <c r="R729" s="3">
        <v>65692.642500000002</v>
      </c>
      <c r="S729" s="3">
        <v>360</v>
      </c>
      <c r="T729" s="3">
        <v>4500</v>
      </c>
      <c r="U729" s="3">
        <v>6516</v>
      </c>
      <c r="V729" s="3">
        <v>13931.099999999999</v>
      </c>
      <c r="W729" s="3">
        <v>0</v>
      </c>
      <c r="X729" s="3">
        <v>-138063.49515000003</v>
      </c>
      <c r="Y729" s="3">
        <v>0</v>
      </c>
      <c r="Z729" s="3">
        <v>9567.7380000000012</v>
      </c>
      <c r="AA729" s="3">
        <v>-9567.7380000000012</v>
      </c>
      <c r="AB729" s="3">
        <v>0</v>
      </c>
      <c r="AC729" s="3">
        <v>0</v>
      </c>
      <c r="AD729" s="3">
        <v>0</v>
      </c>
      <c r="AE729" s="3">
        <v>-147631.23315000001</v>
      </c>
      <c r="AF729" s="3">
        <v>0</v>
      </c>
      <c r="AG729" s="3">
        <v>-147631.23315000001</v>
      </c>
      <c r="AH729" s="3">
        <v>-147631.23315000001</v>
      </c>
      <c r="AI729" s="3">
        <v>0</v>
      </c>
      <c r="AJ729" s="3">
        <v>0</v>
      </c>
    </row>
    <row r="730" spans="1:36" x14ac:dyDescent="0.2">
      <c r="A730" s="3" t="s">
        <v>36</v>
      </c>
      <c r="B730" s="3" t="s">
        <v>114</v>
      </c>
      <c r="C730" s="3" t="s">
        <v>115</v>
      </c>
      <c r="D730" s="3">
        <v>3</v>
      </c>
      <c r="E730" s="3">
        <v>2023</v>
      </c>
      <c r="F730" s="3">
        <v>1</v>
      </c>
      <c r="G730" s="3" t="s">
        <v>42</v>
      </c>
      <c r="H730" s="3" t="s">
        <v>46</v>
      </c>
      <c r="I730" s="5">
        <v>115180</v>
      </c>
      <c r="J730" s="3">
        <v>15470</v>
      </c>
      <c r="K730" s="3">
        <v>99710</v>
      </c>
      <c r="L730" s="3">
        <v>69108</v>
      </c>
      <c r="M730" s="3">
        <v>30602</v>
      </c>
      <c r="N730" s="3">
        <v>309405.79995000002</v>
      </c>
      <c r="O730" s="3">
        <f t="shared" si="12"/>
        <v>310.30568644067802</v>
      </c>
      <c r="P730" s="3">
        <v>36111.11075</v>
      </c>
      <c r="Q730" s="3">
        <v>79657.865300000005</v>
      </c>
      <c r="R730" s="3">
        <v>121788.05730000001</v>
      </c>
      <c r="S730" s="3">
        <v>7020</v>
      </c>
      <c r="T730" s="3">
        <v>36710.050000000003</v>
      </c>
      <c r="U730" s="3">
        <v>3060.2</v>
      </c>
      <c r="V730" s="3">
        <v>25058.516600000003</v>
      </c>
      <c r="W730" s="3">
        <v>0</v>
      </c>
      <c r="X730" s="3">
        <v>-278803.79995000002</v>
      </c>
      <c r="Y730" s="3">
        <v>0</v>
      </c>
      <c r="Z730" s="3">
        <v>15308.67</v>
      </c>
      <c r="AA730" s="3">
        <v>-15308.67</v>
      </c>
      <c r="AB730" s="3">
        <v>0</v>
      </c>
      <c r="AC730" s="3">
        <v>0</v>
      </c>
      <c r="AD730" s="3">
        <v>0</v>
      </c>
      <c r="AE730" s="3">
        <v>-294112.46995000006</v>
      </c>
      <c r="AF730" s="3">
        <v>0</v>
      </c>
      <c r="AG730" s="3">
        <v>-294112.46995000006</v>
      </c>
      <c r="AH730" s="3">
        <v>-294112.46995000006</v>
      </c>
      <c r="AI730" s="3">
        <v>0</v>
      </c>
      <c r="AJ730" s="3">
        <v>0</v>
      </c>
    </row>
    <row r="731" spans="1:36" x14ac:dyDescent="0.2">
      <c r="A731" s="3" t="s">
        <v>36</v>
      </c>
      <c r="B731" s="3" t="s">
        <v>114</v>
      </c>
      <c r="C731" s="3" t="s">
        <v>115</v>
      </c>
      <c r="D731" s="3">
        <v>1</v>
      </c>
      <c r="E731" s="3">
        <v>2023</v>
      </c>
      <c r="F731" s="3">
        <v>1</v>
      </c>
      <c r="G731" s="3" t="s">
        <v>48</v>
      </c>
      <c r="H731" s="3" t="s">
        <v>46</v>
      </c>
      <c r="I731" s="5">
        <v>4934358.1560000004</v>
      </c>
      <c r="J731" s="3">
        <v>54314</v>
      </c>
      <c r="K731" s="3">
        <v>4880044.1560000004</v>
      </c>
      <c r="L731" s="3">
        <v>3678478.9470000002</v>
      </c>
      <c r="M731" s="3">
        <v>1201565.209</v>
      </c>
      <c r="N731" s="3">
        <v>2205177.65845</v>
      </c>
      <c r="O731" s="3">
        <f t="shared" si="12"/>
        <v>45.187657897290542</v>
      </c>
      <c r="P731" s="3">
        <v>252777.77525000001</v>
      </c>
      <c r="Q731" s="3">
        <v>366459.55710000003</v>
      </c>
      <c r="R731" s="3">
        <v>680402.18609999993</v>
      </c>
      <c r="S731" s="3">
        <v>212348.5</v>
      </c>
      <c r="T731" s="3">
        <v>414470.08200000005</v>
      </c>
      <c r="U731" s="3">
        <v>111521.81299999999</v>
      </c>
      <c r="V731" s="3">
        <v>167197.745</v>
      </c>
      <c r="W731" s="3">
        <v>0</v>
      </c>
      <c r="X731" s="3">
        <v>-1003612.4494500002</v>
      </c>
      <c r="Y731" s="3">
        <v>0</v>
      </c>
      <c r="Z731" s="3">
        <v>473160.85700000002</v>
      </c>
      <c r="AA731" s="3">
        <v>-473160.85700000002</v>
      </c>
      <c r="AB731" s="3">
        <v>0</v>
      </c>
      <c r="AC731" s="3">
        <v>0</v>
      </c>
      <c r="AD731" s="3">
        <v>0</v>
      </c>
      <c r="AE731" s="3">
        <v>-1476773.30645</v>
      </c>
      <c r="AF731" s="3">
        <v>0</v>
      </c>
      <c r="AG731" s="3">
        <v>-1476773.30645</v>
      </c>
      <c r="AH731" s="3">
        <v>-1476773.30645</v>
      </c>
      <c r="AI731" s="3">
        <v>9360000</v>
      </c>
      <c r="AJ731" s="3">
        <v>0</v>
      </c>
    </row>
    <row r="732" spans="1:36" x14ac:dyDescent="0.2">
      <c r="A732" s="3" t="s">
        <v>36</v>
      </c>
      <c r="B732" s="3" t="s">
        <v>114</v>
      </c>
      <c r="C732" s="3" t="s">
        <v>115</v>
      </c>
      <c r="D732" s="3">
        <v>2</v>
      </c>
      <c r="E732" s="3">
        <v>2023</v>
      </c>
      <c r="F732" s="3">
        <v>1</v>
      </c>
      <c r="G732" s="3" t="s">
        <v>48</v>
      </c>
      <c r="H732" s="3" t="s">
        <v>46</v>
      </c>
      <c r="I732" s="5">
        <v>12567985.055999998</v>
      </c>
      <c r="J732" s="3">
        <v>369189.91199999995</v>
      </c>
      <c r="K732" s="3">
        <v>12198795.143999998</v>
      </c>
      <c r="L732" s="3">
        <v>8305624.2479999997</v>
      </c>
      <c r="M732" s="3">
        <v>3893170.8959999997</v>
      </c>
      <c r="N732" s="3">
        <v>2367518.2853999999</v>
      </c>
      <c r="O732" s="3">
        <f t="shared" si="12"/>
        <v>19.407804274543199</v>
      </c>
      <c r="P732" s="3">
        <v>233333.33099999995</v>
      </c>
      <c r="Q732" s="3">
        <v>514712.36039999989</v>
      </c>
      <c r="R732" s="3">
        <v>613131.33000000007</v>
      </c>
      <c r="S732" s="3">
        <v>3360</v>
      </c>
      <c r="T732" s="3">
        <v>511137.64799999999</v>
      </c>
      <c r="U732" s="3">
        <v>331524.31199999998</v>
      </c>
      <c r="V732" s="3">
        <v>160319.304</v>
      </c>
      <c r="W732" s="3">
        <v>0</v>
      </c>
      <c r="X732" s="3">
        <v>1525652.6105999998</v>
      </c>
      <c r="Y732" s="3">
        <v>0</v>
      </c>
      <c r="Z732" s="3">
        <v>446567.67599999998</v>
      </c>
      <c r="AA732" s="3">
        <v>-446567.67599999998</v>
      </c>
      <c r="AB732" s="3">
        <v>0</v>
      </c>
      <c r="AC732" s="3">
        <v>0</v>
      </c>
      <c r="AD732" s="3">
        <v>0</v>
      </c>
      <c r="AE732" s="3">
        <v>1079084.9346</v>
      </c>
      <c r="AF732" s="3">
        <v>0</v>
      </c>
      <c r="AG732" s="3">
        <v>1079084.9346</v>
      </c>
      <c r="AH732" s="3">
        <v>1079084.9346</v>
      </c>
      <c r="AI732" s="3">
        <v>7200000</v>
      </c>
      <c r="AJ732" s="3">
        <v>0</v>
      </c>
    </row>
    <row r="733" spans="1:36" x14ac:dyDescent="0.2">
      <c r="A733" s="3" t="s">
        <v>36</v>
      </c>
      <c r="B733" s="3" t="s">
        <v>114</v>
      </c>
      <c r="C733" s="3" t="s">
        <v>115</v>
      </c>
      <c r="D733" s="3">
        <v>3</v>
      </c>
      <c r="E733" s="3">
        <v>2023</v>
      </c>
      <c r="F733" s="3">
        <v>1</v>
      </c>
      <c r="G733" s="3" t="s">
        <v>48</v>
      </c>
      <c r="H733" s="3" t="s">
        <v>46</v>
      </c>
      <c r="I733" s="5">
        <v>20570040</v>
      </c>
      <c r="J733" s="3">
        <v>1282115.7000000002</v>
      </c>
      <c r="K733" s="3">
        <v>19287924.300000001</v>
      </c>
      <c r="L733" s="3">
        <v>14101252.919999998</v>
      </c>
      <c r="M733" s="3">
        <v>5186671.38</v>
      </c>
      <c r="N733" s="3">
        <v>7816364.6115000006</v>
      </c>
      <c r="O733" s="3">
        <f t="shared" si="12"/>
        <v>40.524654130356581</v>
      </c>
      <c r="P733" s="3">
        <v>583333.32750000001</v>
      </c>
      <c r="Q733" s="3">
        <v>1286780.9010000001</v>
      </c>
      <c r="R733" s="3">
        <v>1967345.5410000004</v>
      </c>
      <c r="S733" s="3">
        <v>113400</v>
      </c>
      <c r="T733" s="3">
        <v>3018218.4899999998</v>
      </c>
      <c r="U733" s="3">
        <v>406494.93000000005</v>
      </c>
      <c r="V733" s="3">
        <v>440791.42199999996</v>
      </c>
      <c r="W733" s="3">
        <v>0</v>
      </c>
      <c r="X733" s="3">
        <v>-2629693.2315000002</v>
      </c>
      <c r="Y733" s="3">
        <v>0</v>
      </c>
      <c r="Z733" s="3">
        <v>1115452.5</v>
      </c>
      <c r="AA733" s="3">
        <v>-1115452.5</v>
      </c>
      <c r="AB733" s="3">
        <v>0</v>
      </c>
      <c r="AC733" s="3">
        <v>0</v>
      </c>
      <c r="AD733" s="3">
        <v>0</v>
      </c>
      <c r="AE733" s="3">
        <v>-3745145.7315000002</v>
      </c>
      <c r="AF733" s="3">
        <v>0</v>
      </c>
      <c r="AG733" s="3">
        <v>-3745145.7315000002</v>
      </c>
      <c r="AH733" s="3">
        <v>-3745145.7315000002</v>
      </c>
      <c r="AI733" s="3">
        <v>27000000</v>
      </c>
      <c r="AJ733" s="3">
        <v>0</v>
      </c>
    </row>
    <row r="734" spans="1:36" x14ac:dyDescent="0.2">
      <c r="A734" s="3" t="s">
        <v>36</v>
      </c>
      <c r="B734" s="3" t="s">
        <v>114</v>
      </c>
      <c r="C734" s="3" t="s">
        <v>115</v>
      </c>
      <c r="D734" s="3">
        <v>2</v>
      </c>
      <c r="E734" s="3">
        <v>2023</v>
      </c>
      <c r="F734" s="3">
        <v>1</v>
      </c>
      <c r="G734" s="3" t="s">
        <v>39</v>
      </c>
      <c r="H734" s="3" t="s">
        <v>46</v>
      </c>
      <c r="I734" s="5">
        <v>35268336</v>
      </c>
      <c r="J734" s="3">
        <v>0</v>
      </c>
      <c r="K734" s="3">
        <v>35268336</v>
      </c>
      <c r="L734" s="3">
        <v>35073405</v>
      </c>
      <c r="M734" s="3">
        <v>194931</v>
      </c>
      <c r="N734" s="3">
        <v>246553.97715000002</v>
      </c>
      <c r="O734" s="3">
        <f t="shared" si="12"/>
        <v>0.69908026607776452</v>
      </c>
      <c r="P734" s="3">
        <v>24999.999750000003</v>
      </c>
      <c r="Q734" s="3">
        <v>55147.752900000014</v>
      </c>
      <c r="R734" s="3">
        <v>65692.642500000002</v>
      </c>
      <c r="S734" s="3">
        <v>360</v>
      </c>
      <c r="T734" s="3">
        <v>73199.232000000004</v>
      </c>
      <c r="U734" s="3">
        <v>3179.25</v>
      </c>
      <c r="V734" s="3">
        <v>23975.100000000002</v>
      </c>
      <c r="W734" s="3">
        <v>0</v>
      </c>
      <c r="X734" s="3">
        <v>-51622.977150000013</v>
      </c>
      <c r="Y734" s="3">
        <v>0</v>
      </c>
      <c r="Z734" s="3">
        <v>158144.25599999999</v>
      </c>
      <c r="AA734" s="3">
        <v>-158144.25599999999</v>
      </c>
      <c r="AB734" s="3">
        <v>0</v>
      </c>
      <c r="AC734" s="3">
        <v>0</v>
      </c>
      <c r="AD734" s="3">
        <v>0</v>
      </c>
      <c r="AE734" s="3">
        <v>-209767.23315000004</v>
      </c>
      <c r="AF734" s="3">
        <v>0</v>
      </c>
      <c r="AG734" s="3">
        <v>-209767.23315000004</v>
      </c>
      <c r="AH734" s="3">
        <v>-209767.23315000004</v>
      </c>
      <c r="AI734" s="3">
        <v>35268336</v>
      </c>
      <c r="AJ734" s="3">
        <v>0</v>
      </c>
    </row>
    <row r="735" spans="1:36" x14ac:dyDescent="0.2">
      <c r="A735" s="3" t="s">
        <v>36</v>
      </c>
      <c r="B735" s="3" t="s">
        <v>114</v>
      </c>
      <c r="C735" s="3" t="s">
        <v>115</v>
      </c>
      <c r="D735" s="3">
        <v>1</v>
      </c>
      <c r="E735" s="3">
        <v>2023</v>
      </c>
      <c r="F735" s="3">
        <v>1</v>
      </c>
      <c r="G735" s="3" t="s">
        <v>39</v>
      </c>
      <c r="H735" s="3" t="s">
        <v>46</v>
      </c>
      <c r="I735" s="5">
        <v>38822895.000000007</v>
      </c>
      <c r="J735" s="3">
        <v>0</v>
      </c>
      <c r="K735" s="3">
        <v>38822895.000000007</v>
      </c>
      <c r="L735" s="3">
        <v>38767221.000000007</v>
      </c>
      <c r="M735" s="3">
        <v>55674</v>
      </c>
      <c r="N735" s="3">
        <v>470562.81682500005</v>
      </c>
      <c r="O735" s="3">
        <f t="shared" si="12"/>
        <v>1.2120755467231383</v>
      </c>
      <c r="P735" s="3">
        <v>37499.999625000004</v>
      </c>
      <c r="Q735" s="3">
        <v>54364.879350000003</v>
      </c>
      <c r="R735" s="3">
        <v>100938.78585</v>
      </c>
      <c r="S735" s="3">
        <v>31502.25</v>
      </c>
      <c r="T735" s="3">
        <v>220114.01700000002</v>
      </c>
      <c r="U735" s="3">
        <v>2050.65</v>
      </c>
      <c r="V735" s="3">
        <v>24092.235000000001</v>
      </c>
      <c r="W735" s="3">
        <v>0</v>
      </c>
      <c r="X735" s="3">
        <v>-414888.81682500005</v>
      </c>
      <c r="Y735" s="3">
        <v>0</v>
      </c>
      <c r="Z735" s="3">
        <v>268510.16700000002</v>
      </c>
      <c r="AA735" s="3">
        <v>-268510.16700000002</v>
      </c>
      <c r="AB735" s="3">
        <v>0</v>
      </c>
      <c r="AC735" s="3">
        <v>0</v>
      </c>
      <c r="AD735" s="3">
        <v>0</v>
      </c>
      <c r="AE735" s="3">
        <v>-683398.983825</v>
      </c>
      <c r="AF735" s="3">
        <v>0</v>
      </c>
      <c r="AG735" s="3">
        <v>-683398.983825</v>
      </c>
      <c r="AH735" s="3">
        <v>-683398.983825</v>
      </c>
      <c r="AI735" s="3">
        <v>124007895</v>
      </c>
      <c r="AJ735" s="3">
        <v>0</v>
      </c>
    </row>
    <row r="736" spans="1:36" x14ac:dyDescent="0.2">
      <c r="A736" s="3" t="s">
        <v>36</v>
      </c>
      <c r="B736" s="3" t="s">
        <v>114</v>
      </c>
      <c r="C736" s="3" t="s">
        <v>115</v>
      </c>
      <c r="D736" s="3">
        <v>3</v>
      </c>
      <c r="E736" s="3">
        <v>2023</v>
      </c>
      <c r="F736" s="3">
        <v>1</v>
      </c>
      <c r="G736" s="3" t="s">
        <v>39</v>
      </c>
      <c r="H736" s="3" t="s">
        <v>46</v>
      </c>
      <c r="I736" s="5">
        <v>39630840</v>
      </c>
      <c r="J736" s="3">
        <v>0</v>
      </c>
      <c r="K736" s="3">
        <v>39630840</v>
      </c>
      <c r="L736" s="3">
        <v>39332456</v>
      </c>
      <c r="M736" s="3">
        <v>298384</v>
      </c>
      <c r="N736" s="3">
        <v>281911.42520000006</v>
      </c>
      <c r="O736" s="3">
        <f t="shared" si="12"/>
        <v>0.7113435526473828</v>
      </c>
      <c r="P736" s="3">
        <v>22222.222000000002</v>
      </c>
      <c r="Q736" s="3">
        <v>49020.224800000004</v>
      </c>
      <c r="R736" s="3">
        <v>74946.496800000008</v>
      </c>
      <c r="S736" s="3">
        <v>4320</v>
      </c>
      <c r="T736" s="3">
        <v>86222.655999999988</v>
      </c>
      <c r="U736" s="3">
        <v>29759.200000000001</v>
      </c>
      <c r="V736" s="3">
        <v>15420.625600000003</v>
      </c>
      <c r="W736" s="3">
        <v>0</v>
      </c>
      <c r="X736" s="3">
        <v>16472.574799999951</v>
      </c>
      <c r="Y736" s="3">
        <v>0</v>
      </c>
      <c r="Z736" s="3">
        <v>105427.56800000001</v>
      </c>
      <c r="AA736" s="3">
        <v>-105427.56800000001</v>
      </c>
      <c r="AB736" s="3">
        <v>0</v>
      </c>
      <c r="AC736" s="3">
        <v>2400</v>
      </c>
      <c r="AD736" s="3">
        <v>-2400</v>
      </c>
      <c r="AE736" s="3">
        <v>-91354.993200000055</v>
      </c>
      <c r="AF736" s="3">
        <v>0</v>
      </c>
      <c r="AG736" s="3">
        <v>-91354.993200000055</v>
      </c>
      <c r="AH736" s="3">
        <v>-91354.993200000055</v>
      </c>
      <c r="AI736" s="3">
        <v>39630840</v>
      </c>
      <c r="AJ736" s="3">
        <v>0</v>
      </c>
    </row>
    <row r="737" spans="1:36" x14ac:dyDescent="0.2">
      <c r="A737" s="3" t="s">
        <v>68</v>
      </c>
      <c r="B737" s="3" t="s">
        <v>69</v>
      </c>
      <c r="C737" s="3" t="s">
        <v>70</v>
      </c>
      <c r="D737" s="3">
        <v>1</v>
      </c>
      <c r="E737" s="3">
        <v>2023</v>
      </c>
      <c r="F737" s="3">
        <v>1</v>
      </c>
      <c r="G737" s="3" t="s">
        <v>42</v>
      </c>
      <c r="H737" s="3" t="s">
        <v>40</v>
      </c>
      <c r="I737" s="5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 t="e">
        <f t="shared" si="12"/>
        <v>#DIV/0!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0</v>
      </c>
      <c r="AJ737" s="3">
        <v>0</v>
      </c>
    </row>
    <row r="738" spans="1:36" x14ac:dyDescent="0.2">
      <c r="A738" s="3" t="s">
        <v>68</v>
      </c>
      <c r="B738" s="3" t="s">
        <v>69</v>
      </c>
      <c r="C738" s="3" t="s">
        <v>70</v>
      </c>
      <c r="D738" s="3">
        <v>1</v>
      </c>
      <c r="E738" s="3">
        <v>2023</v>
      </c>
      <c r="F738" s="3">
        <v>1</v>
      </c>
      <c r="G738" s="3" t="s">
        <v>48</v>
      </c>
      <c r="H738" s="3" t="s">
        <v>40</v>
      </c>
      <c r="I738" s="5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 t="e">
        <f t="shared" si="12"/>
        <v>#DIV/0!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</row>
    <row r="739" spans="1:36" x14ac:dyDescent="0.2">
      <c r="A739" s="3" t="s">
        <v>68</v>
      </c>
      <c r="B739" s="3" t="s">
        <v>69</v>
      </c>
      <c r="C739" s="3" t="s">
        <v>70</v>
      </c>
      <c r="D739" s="3">
        <v>1</v>
      </c>
      <c r="E739" s="3">
        <v>2023</v>
      </c>
      <c r="F739" s="3">
        <v>1</v>
      </c>
      <c r="G739" s="3" t="s">
        <v>39</v>
      </c>
      <c r="H739" s="3" t="s">
        <v>40</v>
      </c>
      <c r="I739" s="5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 t="e">
        <f t="shared" si="12"/>
        <v>#DIV/0!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 s="3">
        <v>0</v>
      </c>
    </row>
    <row r="740" spans="1:36" x14ac:dyDescent="0.2">
      <c r="A740" s="3" t="s">
        <v>68</v>
      </c>
      <c r="B740" s="3" t="s">
        <v>69</v>
      </c>
      <c r="C740" s="3" t="s">
        <v>70</v>
      </c>
      <c r="D740" s="3">
        <v>2</v>
      </c>
      <c r="E740" s="3">
        <v>2023</v>
      </c>
      <c r="F740" s="3">
        <v>1</v>
      </c>
      <c r="G740" s="3" t="s">
        <v>42</v>
      </c>
      <c r="H740" s="3" t="s">
        <v>40</v>
      </c>
      <c r="I740" s="5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 t="e">
        <f t="shared" si="12"/>
        <v>#DIV/0!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</row>
    <row r="741" spans="1:36" x14ac:dyDescent="0.2">
      <c r="A741" s="3" t="s">
        <v>68</v>
      </c>
      <c r="B741" s="3" t="s">
        <v>69</v>
      </c>
      <c r="C741" s="3" t="s">
        <v>70</v>
      </c>
      <c r="D741" s="3">
        <v>2</v>
      </c>
      <c r="E741" s="3">
        <v>2023</v>
      </c>
      <c r="F741" s="3">
        <v>1</v>
      </c>
      <c r="G741" s="3" t="s">
        <v>48</v>
      </c>
      <c r="H741" s="3" t="s">
        <v>40</v>
      </c>
      <c r="I741" s="5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 t="e">
        <f t="shared" si="12"/>
        <v>#DIV/0!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</row>
    <row r="742" spans="1:36" x14ac:dyDescent="0.2">
      <c r="A742" s="3" t="s">
        <v>68</v>
      </c>
      <c r="B742" s="3" t="s">
        <v>69</v>
      </c>
      <c r="C742" s="3" t="s">
        <v>70</v>
      </c>
      <c r="D742" s="3">
        <v>2</v>
      </c>
      <c r="E742" s="3">
        <v>2023</v>
      </c>
      <c r="F742" s="3">
        <v>1</v>
      </c>
      <c r="G742" s="3" t="s">
        <v>39</v>
      </c>
      <c r="H742" s="3" t="s">
        <v>40</v>
      </c>
      <c r="I742" s="5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 t="e">
        <f t="shared" si="12"/>
        <v>#DIV/0!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</row>
    <row r="743" spans="1:36" x14ac:dyDescent="0.2">
      <c r="A743" s="3" t="s">
        <v>68</v>
      </c>
      <c r="B743" s="3" t="s">
        <v>69</v>
      </c>
      <c r="C743" s="3" t="s">
        <v>70</v>
      </c>
      <c r="D743" s="3">
        <v>3</v>
      </c>
      <c r="E743" s="3">
        <v>2023</v>
      </c>
      <c r="F743" s="3">
        <v>1</v>
      </c>
      <c r="G743" s="3" t="s">
        <v>42</v>
      </c>
      <c r="H743" s="3" t="s">
        <v>40</v>
      </c>
      <c r="I743" s="5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 t="e">
        <f t="shared" si="12"/>
        <v>#DIV/0!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</row>
    <row r="744" spans="1:36" x14ac:dyDescent="0.2">
      <c r="A744" s="3" t="s">
        <v>68</v>
      </c>
      <c r="B744" s="3" t="s">
        <v>69</v>
      </c>
      <c r="C744" s="3" t="s">
        <v>70</v>
      </c>
      <c r="D744" s="3">
        <v>3</v>
      </c>
      <c r="E744" s="3">
        <v>2023</v>
      </c>
      <c r="F744" s="3">
        <v>1</v>
      </c>
      <c r="G744" s="3" t="s">
        <v>48</v>
      </c>
      <c r="H744" s="3" t="s">
        <v>40</v>
      </c>
      <c r="I744" s="5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 t="e">
        <f t="shared" si="12"/>
        <v>#DIV/0!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</row>
    <row r="745" spans="1:36" x14ac:dyDescent="0.2">
      <c r="A745" s="3" t="s">
        <v>68</v>
      </c>
      <c r="B745" s="3" t="s">
        <v>69</v>
      </c>
      <c r="C745" s="3" t="s">
        <v>70</v>
      </c>
      <c r="D745" s="3">
        <v>3</v>
      </c>
      <c r="E745" s="3">
        <v>2023</v>
      </c>
      <c r="F745" s="3">
        <v>1</v>
      </c>
      <c r="G745" s="3" t="s">
        <v>39</v>
      </c>
      <c r="H745" s="3" t="s">
        <v>40</v>
      </c>
      <c r="I745" s="5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 t="e">
        <f t="shared" si="12"/>
        <v>#DIV/0!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</row>
    <row r="746" spans="1:36" x14ac:dyDescent="0.2">
      <c r="A746" s="3" t="s">
        <v>68</v>
      </c>
      <c r="B746" s="3" t="s">
        <v>69</v>
      </c>
      <c r="C746" s="3" t="s">
        <v>70</v>
      </c>
      <c r="D746" s="3">
        <v>3</v>
      </c>
      <c r="E746" s="3">
        <v>2023</v>
      </c>
      <c r="F746" s="3">
        <v>1</v>
      </c>
      <c r="G746" s="3" t="s">
        <v>42</v>
      </c>
      <c r="H746" s="3" t="s">
        <v>46</v>
      </c>
      <c r="I746" s="5">
        <v>60620</v>
      </c>
      <c r="J746" s="3">
        <v>2275</v>
      </c>
      <c r="K746" s="3">
        <v>58345</v>
      </c>
      <c r="L746" s="3">
        <v>36372</v>
      </c>
      <c r="M746" s="3">
        <v>21973</v>
      </c>
      <c r="N746" s="3">
        <v>95918.582961564083</v>
      </c>
      <c r="O746" s="3">
        <f t="shared" si="12"/>
        <v>164.39897671019639</v>
      </c>
      <c r="P746" s="3">
        <v>20579.999999999996</v>
      </c>
      <c r="Q746" s="3">
        <v>8758.3302356666645</v>
      </c>
      <c r="R746" s="3">
        <v>39905.941519230764</v>
      </c>
      <c r="S746" s="3">
        <v>6606.5416666666661</v>
      </c>
      <c r="T746" s="3">
        <v>0</v>
      </c>
      <c r="U746" s="3">
        <v>2197.2999999999993</v>
      </c>
      <c r="V746" s="3">
        <v>17870.469539999998</v>
      </c>
      <c r="W746" s="3">
        <v>0</v>
      </c>
      <c r="X746" s="3">
        <v>-73945.582961564083</v>
      </c>
      <c r="Y746" s="3">
        <v>0</v>
      </c>
      <c r="Z746" s="3">
        <v>13218.929897820995</v>
      </c>
      <c r="AA746" s="3">
        <v>-13218.929897820995</v>
      </c>
      <c r="AB746" s="3">
        <v>0</v>
      </c>
      <c r="AC746" s="3">
        <v>0</v>
      </c>
      <c r="AD746" s="3">
        <v>0</v>
      </c>
      <c r="AE746" s="3">
        <v>-87164.512859385068</v>
      </c>
      <c r="AF746" s="3">
        <v>0</v>
      </c>
      <c r="AG746" s="3">
        <v>-87164.512859385068</v>
      </c>
      <c r="AH746" s="3">
        <v>-87164.512859385068</v>
      </c>
      <c r="AI746" s="3">
        <v>350000</v>
      </c>
      <c r="AJ746" s="3">
        <v>0</v>
      </c>
    </row>
    <row r="747" spans="1:36" x14ac:dyDescent="0.2">
      <c r="A747" s="3" t="s">
        <v>68</v>
      </c>
      <c r="B747" s="3" t="s">
        <v>69</v>
      </c>
      <c r="C747" s="3" t="s">
        <v>70</v>
      </c>
      <c r="D747" s="3">
        <v>1</v>
      </c>
      <c r="E747" s="3">
        <v>2023</v>
      </c>
      <c r="F747" s="3">
        <v>1</v>
      </c>
      <c r="G747" s="3" t="s">
        <v>42</v>
      </c>
      <c r="H747" s="3" t="s">
        <v>46</v>
      </c>
      <c r="I747" s="5">
        <v>285936</v>
      </c>
      <c r="J747" s="3">
        <v>9088</v>
      </c>
      <c r="K747" s="3">
        <v>276848</v>
      </c>
      <c r="L747" s="3">
        <v>171561.60000000001</v>
      </c>
      <c r="M747" s="3">
        <v>105286.39999999999</v>
      </c>
      <c r="N747" s="3">
        <v>124728.34769958974</v>
      </c>
      <c r="O747" s="3">
        <f t="shared" si="12"/>
        <v>45.053006595528863</v>
      </c>
      <c r="P747" s="3">
        <v>23520</v>
      </c>
      <c r="Q747" s="3">
        <v>10009.520269333334</v>
      </c>
      <c r="R747" s="3">
        <v>50696.240576923083</v>
      </c>
      <c r="S747" s="3">
        <v>18058.733333333337</v>
      </c>
      <c r="T747" s="3">
        <v>0</v>
      </c>
      <c r="U747" s="3">
        <v>10528.64</v>
      </c>
      <c r="V747" s="3">
        <v>11915.213519999999</v>
      </c>
      <c r="W747" s="3">
        <v>0</v>
      </c>
      <c r="X747" s="3">
        <v>-19441.947699589746</v>
      </c>
      <c r="Y747" s="3">
        <v>0</v>
      </c>
      <c r="Z747" s="3">
        <v>17635.340699352615</v>
      </c>
      <c r="AA747" s="3">
        <v>-17635.340699352615</v>
      </c>
      <c r="AB747" s="3">
        <v>0</v>
      </c>
      <c r="AC747" s="3">
        <v>0</v>
      </c>
      <c r="AD747" s="3">
        <v>0</v>
      </c>
      <c r="AE747" s="3">
        <v>-37077.288398942357</v>
      </c>
      <c r="AF747" s="3">
        <v>0</v>
      </c>
      <c r="AG747" s="3">
        <v>-37077.288398942357</v>
      </c>
      <c r="AH747" s="3">
        <v>-37077.288398942357</v>
      </c>
      <c r="AI747" s="3">
        <v>208000</v>
      </c>
      <c r="AJ747" s="3">
        <v>0</v>
      </c>
    </row>
    <row r="748" spans="1:36" x14ac:dyDescent="0.2">
      <c r="A748" s="3" t="s">
        <v>68</v>
      </c>
      <c r="B748" s="3" t="s">
        <v>69</v>
      </c>
      <c r="C748" s="3" t="s">
        <v>70</v>
      </c>
      <c r="D748" s="3">
        <v>2</v>
      </c>
      <c r="E748" s="3">
        <v>2023</v>
      </c>
      <c r="F748" s="3">
        <v>1</v>
      </c>
      <c r="G748" s="3" t="s">
        <v>42</v>
      </c>
      <c r="H748" s="3" t="s">
        <v>46</v>
      </c>
      <c r="I748" s="5">
        <v>559104</v>
      </c>
      <c r="J748" s="3">
        <v>0</v>
      </c>
      <c r="K748" s="3">
        <v>559104</v>
      </c>
      <c r="L748" s="3">
        <v>335462.39999999997</v>
      </c>
      <c r="M748" s="3">
        <v>223641.60000000001</v>
      </c>
      <c r="N748" s="3">
        <v>245479.29727053206</v>
      </c>
      <c r="O748" s="3">
        <f t="shared" si="12"/>
        <v>43.905838139332225</v>
      </c>
      <c r="P748" s="3">
        <v>41159.999999999993</v>
      </c>
      <c r="Q748" s="3">
        <v>25278.260471333328</v>
      </c>
      <c r="R748" s="3">
        <v>78630.641165865367</v>
      </c>
      <c r="S748" s="3">
        <v>35333.783333333333</v>
      </c>
      <c r="T748" s="3">
        <v>11681.6</v>
      </c>
      <c r="U748" s="3">
        <v>22364.160000000003</v>
      </c>
      <c r="V748" s="3">
        <v>31030.852299999999</v>
      </c>
      <c r="W748" s="3">
        <v>0</v>
      </c>
      <c r="X748" s="3">
        <v>-21837.697270532048</v>
      </c>
      <c r="Y748" s="3">
        <v>0</v>
      </c>
      <c r="Z748" s="3">
        <v>30583.995365191007</v>
      </c>
      <c r="AA748" s="3">
        <v>-30583.995365191007</v>
      </c>
      <c r="AB748" s="3">
        <v>0</v>
      </c>
      <c r="AC748" s="3">
        <v>0</v>
      </c>
      <c r="AD748" s="3">
        <v>0</v>
      </c>
      <c r="AE748" s="3">
        <v>-52421.692635723055</v>
      </c>
      <c r="AF748" s="3">
        <v>0</v>
      </c>
      <c r="AG748" s="3">
        <v>-52421.692635723055</v>
      </c>
      <c r="AH748" s="3">
        <v>-52421.692635723055</v>
      </c>
      <c r="AI748" s="3">
        <v>1231999.9999999998</v>
      </c>
      <c r="AJ748" s="3">
        <v>0</v>
      </c>
    </row>
    <row r="749" spans="1:36" x14ac:dyDescent="0.2">
      <c r="A749" s="3" t="s">
        <v>68</v>
      </c>
      <c r="B749" s="3" t="s">
        <v>69</v>
      </c>
      <c r="C749" s="3" t="s">
        <v>70</v>
      </c>
      <c r="D749" s="3">
        <v>2</v>
      </c>
      <c r="E749" s="3">
        <v>2023</v>
      </c>
      <c r="F749" s="3">
        <v>1</v>
      </c>
      <c r="G749" s="3" t="s">
        <v>48</v>
      </c>
      <c r="H749" s="3" t="s">
        <v>46</v>
      </c>
      <c r="I749" s="5">
        <v>10458045</v>
      </c>
      <c r="J749" s="3">
        <v>427427.13</v>
      </c>
      <c r="K749" s="3">
        <v>10030617.870000001</v>
      </c>
      <c r="L749" s="3">
        <v>6799040.7939999998</v>
      </c>
      <c r="M749" s="3">
        <v>3231577.0760000004</v>
      </c>
      <c r="N749" s="3">
        <v>1571197.6283851876</v>
      </c>
      <c r="O749" s="3">
        <f t="shared" si="12"/>
        <v>15.664016402064245</v>
      </c>
      <c r="P749" s="3">
        <v>143324.99999999997</v>
      </c>
      <c r="Q749" s="3">
        <v>90460.685705000011</v>
      </c>
      <c r="R749" s="3">
        <v>507230.88511718757</v>
      </c>
      <c r="S749" s="3">
        <v>111868.273998</v>
      </c>
      <c r="T749" s="3">
        <v>220121.30478000003</v>
      </c>
      <c r="U749" s="3">
        <v>323157.70760000008</v>
      </c>
      <c r="V749" s="3">
        <v>175033.77118499996</v>
      </c>
      <c r="W749" s="3">
        <v>0</v>
      </c>
      <c r="X749" s="3">
        <v>1660379.4476148125</v>
      </c>
      <c r="Y749" s="3">
        <v>257.12842999999998</v>
      </c>
      <c r="Z749" s="3">
        <v>157608.98175601775</v>
      </c>
      <c r="AA749" s="3">
        <v>-157351.85332601776</v>
      </c>
      <c r="AB749" s="3">
        <v>0</v>
      </c>
      <c r="AC749" s="3">
        <v>0</v>
      </c>
      <c r="AD749" s="3">
        <v>0</v>
      </c>
      <c r="AE749" s="3">
        <v>1503027.5942887948</v>
      </c>
      <c r="AF749" s="3">
        <v>0</v>
      </c>
      <c r="AG749" s="3">
        <v>1503027.5942887948</v>
      </c>
      <c r="AH749" s="3">
        <v>1503027.5942887948</v>
      </c>
      <c r="AI749" s="3">
        <v>9360000</v>
      </c>
      <c r="AJ749" s="3">
        <v>1187612.9032258065</v>
      </c>
    </row>
    <row r="750" spans="1:36" x14ac:dyDescent="0.2">
      <c r="A750" s="3" t="s">
        <v>68</v>
      </c>
      <c r="B750" s="3" t="s">
        <v>69</v>
      </c>
      <c r="C750" s="3" t="s">
        <v>70</v>
      </c>
      <c r="D750" s="3">
        <v>3</v>
      </c>
      <c r="E750" s="3">
        <v>2023</v>
      </c>
      <c r="F750" s="3">
        <v>1</v>
      </c>
      <c r="G750" s="3" t="s">
        <v>48</v>
      </c>
      <c r="H750" s="3" t="s">
        <v>46</v>
      </c>
      <c r="I750" s="5">
        <v>11700390</v>
      </c>
      <c r="J750" s="3">
        <v>583347.9</v>
      </c>
      <c r="K750" s="3">
        <v>11117042.1</v>
      </c>
      <c r="L750" s="3">
        <v>7322336.3100000005</v>
      </c>
      <c r="M750" s="3">
        <v>3794705.79</v>
      </c>
      <c r="N750" s="3">
        <v>3082713.2579307696</v>
      </c>
      <c r="O750" s="3">
        <f t="shared" si="12"/>
        <v>27.729617556551034</v>
      </c>
      <c r="P750" s="3">
        <v>330749.99999999994</v>
      </c>
      <c r="Q750" s="3">
        <v>146385.42855000001</v>
      </c>
      <c r="R750" s="3">
        <v>1002749.5254807692</v>
      </c>
      <c r="S750" s="3">
        <v>188599.53233999998</v>
      </c>
      <c r="T750" s="3">
        <v>682840.65330000001</v>
      </c>
      <c r="U750" s="3">
        <v>379470.57900000009</v>
      </c>
      <c r="V750" s="3">
        <v>351917.53925999999</v>
      </c>
      <c r="W750" s="3">
        <v>0</v>
      </c>
      <c r="X750" s="3">
        <v>711992.53206923069</v>
      </c>
      <c r="Y750" s="3">
        <v>250.68810000000002</v>
      </c>
      <c r="Z750" s="3">
        <v>308411.46982458269</v>
      </c>
      <c r="AA750" s="3">
        <v>-308160.78172458272</v>
      </c>
      <c r="AB750" s="3">
        <v>0</v>
      </c>
      <c r="AC750" s="3">
        <v>0</v>
      </c>
      <c r="AD750" s="3">
        <v>0</v>
      </c>
      <c r="AE750" s="3">
        <v>403831.75034464791</v>
      </c>
      <c r="AF750" s="3">
        <v>0</v>
      </c>
      <c r="AG750" s="3">
        <v>403831.75034464791</v>
      </c>
      <c r="AH750" s="3">
        <v>403831.75034464791</v>
      </c>
      <c r="AI750" s="3">
        <v>18000000</v>
      </c>
      <c r="AJ750" s="3">
        <v>4110967.7419354836</v>
      </c>
    </row>
    <row r="751" spans="1:36" x14ac:dyDescent="0.2">
      <c r="A751" s="3" t="s">
        <v>68</v>
      </c>
      <c r="B751" s="3" t="s">
        <v>69</v>
      </c>
      <c r="C751" s="3" t="s">
        <v>70</v>
      </c>
      <c r="D751" s="3">
        <v>1</v>
      </c>
      <c r="E751" s="3">
        <v>2023</v>
      </c>
      <c r="F751" s="3">
        <v>1</v>
      </c>
      <c r="G751" s="3" t="s">
        <v>48</v>
      </c>
      <c r="H751" s="3" t="s">
        <v>46</v>
      </c>
      <c r="I751" s="5">
        <v>14316456</v>
      </c>
      <c r="J751" s="3">
        <v>1113551.28</v>
      </c>
      <c r="K751" s="3">
        <v>13202904.720000001</v>
      </c>
      <c r="L751" s="3">
        <v>9637679.3760000002</v>
      </c>
      <c r="M751" s="3">
        <v>3565225.344</v>
      </c>
      <c r="N751" s="3">
        <v>2347246.4865152305</v>
      </c>
      <c r="O751" s="3">
        <f t="shared" si="12"/>
        <v>17.778258165868447</v>
      </c>
      <c r="P751" s="3">
        <v>264599.99999999994</v>
      </c>
      <c r="Q751" s="3">
        <v>111738.66684000001</v>
      </c>
      <c r="R751" s="3">
        <v>839874.84801923088</v>
      </c>
      <c r="S751" s="3">
        <v>172834.23599999998</v>
      </c>
      <c r="T751" s="3">
        <v>389933.52359999996</v>
      </c>
      <c r="U751" s="3">
        <v>356522.53440000006</v>
      </c>
      <c r="V751" s="3">
        <v>211742.67765599999</v>
      </c>
      <c r="W751" s="3">
        <v>0</v>
      </c>
      <c r="X751" s="3">
        <v>1217978.8574847693</v>
      </c>
      <c r="Y751" s="3">
        <v>325.01664</v>
      </c>
      <c r="Z751" s="3">
        <v>291172.62129671383</v>
      </c>
      <c r="AA751" s="3">
        <v>-290847.6046567139</v>
      </c>
      <c r="AB751" s="3">
        <v>0</v>
      </c>
      <c r="AC751" s="3">
        <v>0</v>
      </c>
      <c r="AD751" s="3">
        <v>0</v>
      </c>
      <c r="AE751" s="3">
        <v>927131.25282805529</v>
      </c>
      <c r="AF751" s="3">
        <v>0</v>
      </c>
      <c r="AG751" s="3">
        <v>927131.25282805529</v>
      </c>
      <c r="AH751" s="3">
        <v>927131.25282805529</v>
      </c>
      <c r="AI751" s="3">
        <v>16800000</v>
      </c>
      <c r="AJ751" s="3">
        <v>2131612.9032258065</v>
      </c>
    </row>
    <row r="752" spans="1:36" x14ac:dyDescent="0.2">
      <c r="A752" s="3" t="s">
        <v>68</v>
      </c>
      <c r="B752" s="3" t="s">
        <v>69</v>
      </c>
      <c r="C752" s="3" t="s">
        <v>70</v>
      </c>
      <c r="D752" s="3">
        <v>1</v>
      </c>
      <c r="E752" s="3">
        <v>2023</v>
      </c>
      <c r="F752" s="3">
        <v>1</v>
      </c>
      <c r="G752" s="3" t="s">
        <v>39</v>
      </c>
      <c r="H752" s="3" t="s">
        <v>46</v>
      </c>
      <c r="I752" s="5">
        <v>1759265474.4000001</v>
      </c>
      <c r="J752" s="3">
        <v>0</v>
      </c>
      <c r="K752" s="3">
        <v>1759265474.4000001</v>
      </c>
      <c r="L752" s="3">
        <v>1754536787.8720002</v>
      </c>
      <c r="M752" s="3">
        <v>4728686.5279997569</v>
      </c>
      <c r="N752" s="3">
        <v>2067364.8666092965</v>
      </c>
      <c r="O752" s="3">
        <f t="shared" si="12"/>
        <v>0.11751295621340913</v>
      </c>
      <c r="P752" s="3">
        <v>176399.99999999997</v>
      </c>
      <c r="Q752" s="3">
        <v>80354.112880000001</v>
      </c>
      <c r="R752" s="3">
        <v>584352.52385821939</v>
      </c>
      <c r="S752" s="3">
        <v>59521.8</v>
      </c>
      <c r="T752" s="3">
        <v>626576.49595110107</v>
      </c>
      <c r="U752" s="3">
        <v>472868.65279997571</v>
      </c>
      <c r="V752" s="3">
        <v>67291.28112</v>
      </c>
      <c r="W752" s="3">
        <v>0</v>
      </c>
      <c r="X752" s="3">
        <v>2661321.6613904596</v>
      </c>
      <c r="Y752" s="3">
        <v>233950.6872280502</v>
      </c>
      <c r="Z752" s="3">
        <v>324358.07661956269</v>
      </c>
      <c r="AA752" s="3">
        <v>-90407.389391512464</v>
      </c>
      <c r="AB752" s="3">
        <v>82960</v>
      </c>
      <c r="AC752" s="3">
        <v>50880</v>
      </c>
      <c r="AD752" s="3">
        <v>32080</v>
      </c>
      <c r="AE752" s="3">
        <v>2602994.2719989475</v>
      </c>
      <c r="AF752" s="3">
        <v>0</v>
      </c>
      <c r="AG752" s="3">
        <v>2602994.2719989475</v>
      </c>
      <c r="AH752" s="3">
        <v>2602994.2719989475</v>
      </c>
      <c r="AI752" s="3">
        <v>3368529474.4000001</v>
      </c>
      <c r="AJ752" s="3">
        <v>2496000</v>
      </c>
    </row>
    <row r="753" spans="1:36" x14ac:dyDescent="0.2">
      <c r="A753" s="3" t="s">
        <v>68</v>
      </c>
      <c r="B753" s="3" t="s">
        <v>69</v>
      </c>
      <c r="C753" s="3" t="s">
        <v>70</v>
      </c>
      <c r="D753" s="3">
        <v>2</v>
      </c>
      <c r="E753" s="3">
        <v>2023</v>
      </c>
      <c r="F753" s="3">
        <v>1</v>
      </c>
      <c r="G753" s="3" t="s">
        <v>39</v>
      </c>
      <c r="H753" s="3" t="s">
        <v>46</v>
      </c>
      <c r="I753" s="5">
        <v>2239280459.8553996</v>
      </c>
      <c r="J753" s="3">
        <v>0</v>
      </c>
      <c r="K753" s="3">
        <v>2239280459.8553996</v>
      </c>
      <c r="L753" s="3">
        <v>2226595779.5100002</v>
      </c>
      <c r="M753" s="3">
        <v>12684680.34539978</v>
      </c>
      <c r="N753" s="3">
        <v>2498106.1479049129</v>
      </c>
      <c r="O753" s="3">
        <f t="shared" si="12"/>
        <v>0.11155843105361743</v>
      </c>
      <c r="P753" s="3">
        <v>165374.99999999997</v>
      </c>
      <c r="Q753" s="3">
        <v>106516.98082499999</v>
      </c>
      <c r="R753" s="3">
        <v>596774.43829257926</v>
      </c>
      <c r="S753" s="3">
        <v>55801.6875</v>
      </c>
      <c r="T753" s="3">
        <v>166172.53149735541</v>
      </c>
      <c r="U753" s="3">
        <v>1268468.0345399783</v>
      </c>
      <c r="V753" s="3">
        <v>138997.47524999999</v>
      </c>
      <c r="W753" s="3">
        <v>0</v>
      </c>
      <c r="X753" s="3">
        <v>10186574.197494868</v>
      </c>
      <c r="Y753" s="3">
        <v>207285.04222346717</v>
      </c>
      <c r="Z753" s="3">
        <v>316855.72032891033</v>
      </c>
      <c r="AA753" s="3">
        <v>-109570.67810544319</v>
      </c>
      <c r="AB753" s="3">
        <v>77700</v>
      </c>
      <c r="AC753" s="3">
        <v>60750</v>
      </c>
      <c r="AD753" s="3">
        <v>16950</v>
      </c>
      <c r="AE753" s="3">
        <v>10093953.519389424</v>
      </c>
      <c r="AF753" s="3">
        <v>0</v>
      </c>
      <c r="AG753" s="3">
        <v>10093953.519389424</v>
      </c>
      <c r="AH753" s="3">
        <v>10093953.519389424</v>
      </c>
      <c r="AI753" s="3">
        <v>2239280459.8553996</v>
      </c>
      <c r="AJ753" s="3">
        <v>2580000</v>
      </c>
    </row>
    <row r="754" spans="1:36" x14ac:dyDescent="0.2">
      <c r="A754" s="3" t="s">
        <v>68</v>
      </c>
      <c r="B754" s="3" t="s">
        <v>69</v>
      </c>
      <c r="C754" s="3" t="s">
        <v>70</v>
      </c>
      <c r="D754" s="3">
        <v>3</v>
      </c>
      <c r="E754" s="3">
        <v>2023</v>
      </c>
      <c r="F754" s="3">
        <v>1</v>
      </c>
      <c r="G754" s="3" t="s">
        <v>39</v>
      </c>
      <c r="H754" s="3" t="s">
        <v>46</v>
      </c>
      <c r="I754" s="5">
        <v>2449493020.0519996</v>
      </c>
      <c r="J754" s="3">
        <v>0</v>
      </c>
      <c r="K754" s="3">
        <v>2449493020.0519996</v>
      </c>
      <c r="L754" s="3">
        <v>2432468645.3600006</v>
      </c>
      <c r="M754" s="3">
        <v>17024374.691999648</v>
      </c>
      <c r="N754" s="3">
        <v>3774422.675406184</v>
      </c>
      <c r="O754" s="3">
        <f t="shared" si="12"/>
        <v>0.15408995430924141</v>
      </c>
      <c r="P754" s="3">
        <v>253574.99999999994</v>
      </c>
      <c r="Q754" s="3">
        <v>115509.03726499999</v>
      </c>
      <c r="R754" s="3">
        <v>1025350.4602501682</v>
      </c>
      <c r="S754" s="3">
        <v>85562.587500000009</v>
      </c>
      <c r="T754" s="3">
        <v>384025.05001105141</v>
      </c>
      <c r="U754" s="3">
        <v>1702437.4691999648</v>
      </c>
      <c r="V754" s="3">
        <v>207963.07117999997</v>
      </c>
      <c r="W754" s="3">
        <v>0</v>
      </c>
      <c r="X754" s="3">
        <v>13249952.016593462</v>
      </c>
      <c r="Y754" s="3">
        <v>435557.42761152855</v>
      </c>
      <c r="Z754" s="3">
        <v>644718.1089173014</v>
      </c>
      <c r="AA754" s="3">
        <v>-209160.68130577289</v>
      </c>
      <c r="AB754" s="3">
        <v>126039.99999999999</v>
      </c>
      <c r="AC754" s="3">
        <v>100740</v>
      </c>
      <c r="AD754" s="3">
        <v>25300</v>
      </c>
      <c r="AE754" s="3">
        <v>13066091.335287692</v>
      </c>
      <c r="AF754" s="3">
        <v>0</v>
      </c>
      <c r="AG754" s="3">
        <v>13066091.335287692</v>
      </c>
      <c r="AH754" s="3">
        <v>13066091.335287692</v>
      </c>
      <c r="AI754" s="3">
        <v>2449493020.0519996</v>
      </c>
      <c r="AJ754" s="3">
        <v>3036000</v>
      </c>
    </row>
    <row r="755" spans="1:36" x14ac:dyDescent="0.2">
      <c r="A755" s="3" t="s">
        <v>68</v>
      </c>
      <c r="B755" s="3" t="s">
        <v>69</v>
      </c>
      <c r="C755" s="3" t="s">
        <v>71</v>
      </c>
      <c r="D755" s="3">
        <v>1</v>
      </c>
      <c r="E755" s="3">
        <v>2023</v>
      </c>
      <c r="F755" s="3">
        <v>1</v>
      </c>
      <c r="G755" s="3" t="s">
        <v>42</v>
      </c>
      <c r="H755" s="3" t="s">
        <v>40</v>
      </c>
      <c r="I755" s="5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 t="e">
        <f t="shared" si="12"/>
        <v>#DIV/0!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</row>
    <row r="756" spans="1:36" x14ac:dyDescent="0.2">
      <c r="A756" s="3" t="s">
        <v>68</v>
      </c>
      <c r="B756" s="3" t="s">
        <v>69</v>
      </c>
      <c r="C756" s="3" t="s">
        <v>71</v>
      </c>
      <c r="D756" s="3">
        <v>1</v>
      </c>
      <c r="E756" s="3">
        <v>2023</v>
      </c>
      <c r="F756" s="3">
        <v>1</v>
      </c>
      <c r="G756" s="3" t="s">
        <v>48</v>
      </c>
      <c r="H756" s="3" t="s">
        <v>46</v>
      </c>
      <c r="I756" s="5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 t="e">
        <f t="shared" si="12"/>
        <v>#DIV/0!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</row>
    <row r="757" spans="1:36" x14ac:dyDescent="0.2">
      <c r="A757" s="3" t="s">
        <v>68</v>
      </c>
      <c r="B757" s="3" t="s">
        <v>69</v>
      </c>
      <c r="C757" s="3" t="s">
        <v>71</v>
      </c>
      <c r="D757" s="3">
        <v>1</v>
      </c>
      <c r="E757" s="3">
        <v>2023</v>
      </c>
      <c r="F757" s="3">
        <v>1</v>
      </c>
      <c r="G757" s="3" t="s">
        <v>39</v>
      </c>
      <c r="H757" s="3" t="s">
        <v>40</v>
      </c>
      <c r="I757" s="5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 t="e">
        <f t="shared" si="12"/>
        <v>#DIV/0!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</row>
    <row r="758" spans="1:36" x14ac:dyDescent="0.2">
      <c r="A758" s="3" t="s">
        <v>68</v>
      </c>
      <c r="B758" s="3" t="s">
        <v>69</v>
      </c>
      <c r="C758" s="3" t="s">
        <v>71</v>
      </c>
      <c r="D758" s="3">
        <v>2</v>
      </c>
      <c r="E758" s="3">
        <v>2023</v>
      </c>
      <c r="F758" s="3">
        <v>1</v>
      </c>
      <c r="G758" s="3" t="s">
        <v>42</v>
      </c>
      <c r="H758" s="3" t="s">
        <v>40</v>
      </c>
      <c r="I758" s="5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 t="e">
        <f t="shared" si="12"/>
        <v>#DIV/0!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</row>
    <row r="759" spans="1:36" x14ac:dyDescent="0.2">
      <c r="A759" s="3" t="s">
        <v>68</v>
      </c>
      <c r="B759" s="3" t="s">
        <v>69</v>
      </c>
      <c r="C759" s="3" t="s">
        <v>71</v>
      </c>
      <c r="D759" s="3">
        <v>2</v>
      </c>
      <c r="E759" s="3">
        <v>2023</v>
      </c>
      <c r="F759" s="3">
        <v>1</v>
      </c>
      <c r="G759" s="3" t="s">
        <v>48</v>
      </c>
      <c r="H759" s="3" t="s">
        <v>46</v>
      </c>
      <c r="I759" s="5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 t="e">
        <f t="shared" si="12"/>
        <v>#DIV/0!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</row>
    <row r="760" spans="1:36" x14ac:dyDescent="0.2">
      <c r="A760" s="3" t="s">
        <v>68</v>
      </c>
      <c r="B760" s="3" t="s">
        <v>69</v>
      </c>
      <c r="C760" s="3" t="s">
        <v>71</v>
      </c>
      <c r="D760" s="3">
        <v>2</v>
      </c>
      <c r="E760" s="3">
        <v>2023</v>
      </c>
      <c r="F760" s="3">
        <v>1</v>
      </c>
      <c r="G760" s="3" t="s">
        <v>39</v>
      </c>
      <c r="H760" s="3" t="s">
        <v>40</v>
      </c>
      <c r="I760" s="5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 t="e">
        <f t="shared" si="12"/>
        <v>#DIV/0!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0</v>
      </c>
      <c r="AJ760" s="3">
        <v>0</v>
      </c>
    </row>
    <row r="761" spans="1:36" x14ac:dyDescent="0.2">
      <c r="A761" s="3" t="s">
        <v>68</v>
      </c>
      <c r="B761" s="3" t="s">
        <v>69</v>
      </c>
      <c r="C761" s="3" t="s">
        <v>71</v>
      </c>
      <c r="D761" s="3">
        <v>3</v>
      </c>
      <c r="E761" s="3">
        <v>2023</v>
      </c>
      <c r="F761" s="3">
        <v>1</v>
      </c>
      <c r="G761" s="3" t="s">
        <v>42</v>
      </c>
      <c r="H761" s="3" t="s">
        <v>40</v>
      </c>
      <c r="I761" s="5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 t="e">
        <f t="shared" si="12"/>
        <v>#DIV/0!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</row>
    <row r="762" spans="1:36" x14ac:dyDescent="0.2">
      <c r="A762" s="3" t="s">
        <v>68</v>
      </c>
      <c r="B762" s="3" t="s">
        <v>69</v>
      </c>
      <c r="C762" s="3" t="s">
        <v>71</v>
      </c>
      <c r="D762" s="3">
        <v>3</v>
      </c>
      <c r="E762" s="3">
        <v>2023</v>
      </c>
      <c r="F762" s="3">
        <v>1</v>
      </c>
      <c r="G762" s="3" t="s">
        <v>48</v>
      </c>
      <c r="H762" s="3" t="s">
        <v>46</v>
      </c>
      <c r="I762" s="5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 t="e">
        <f t="shared" si="12"/>
        <v>#DIV/0!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</row>
    <row r="763" spans="1:36" x14ac:dyDescent="0.2">
      <c r="A763" s="3" t="s">
        <v>68</v>
      </c>
      <c r="B763" s="3" t="s">
        <v>69</v>
      </c>
      <c r="C763" s="3" t="s">
        <v>71</v>
      </c>
      <c r="D763" s="3">
        <v>3</v>
      </c>
      <c r="E763" s="3">
        <v>2023</v>
      </c>
      <c r="F763" s="3">
        <v>1</v>
      </c>
      <c r="G763" s="3" t="s">
        <v>39</v>
      </c>
      <c r="H763" s="3" t="s">
        <v>40</v>
      </c>
      <c r="I763" s="5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 t="e">
        <f t="shared" si="12"/>
        <v>#DIV/0!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v>0</v>
      </c>
    </row>
    <row r="764" spans="1:36" x14ac:dyDescent="0.2">
      <c r="A764" s="3" t="s">
        <v>68</v>
      </c>
      <c r="B764" s="3" t="s">
        <v>69</v>
      </c>
      <c r="C764" s="3" t="s">
        <v>71</v>
      </c>
      <c r="D764" s="3">
        <v>2</v>
      </c>
      <c r="E764" s="3">
        <v>2023</v>
      </c>
      <c r="F764" s="3">
        <v>1</v>
      </c>
      <c r="G764" s="3" t="s">
        <v>42</v>
      </c>
      <c r="H764" s="3" t="s">
        <v>46</v>
      </c>
      <c r="I764" s="5">
        <v>524161</v>
      </c>
      <c r="J764" s="3">
        <v>38831.4</v>
      </c>
      <c r="K764" s="3">
        <v>485329.6</v>
      </c>
      <c r="L764" s="3">
        <v>314496.59999999998</v>
      </c>
      <c r="M764" s="3">
        <v>170833</v>
      </c>
      <c r="N764" s="3">
        <v>287438.36611467402</v>
      </c>
      <c r="O764" s="3">
        <f t="shared" si="12"/>
        <v>59.22539365302962</v>
      </c>
      <c r="P764" s="3">
        <v>62333.333219999993</v>
      </c>
      <c r="Q764" s="3">
        <v>19422.670654499998</v>
      </c>
      <c r="R764" s="3">
        <v>104128.59784684065</v>
      </c>
      <c r="S764" s="3">
        <v>33060.438333333339</v>
      </c>
      <c r="T764" s="3">
        <v>41470.479999999996</v>
      </c>
      <c r="U764" s="3">
        <v>17083.3</v>
      </c>
      <c r="V764" s="3">
        <v>9939.5460599999988</v>
      </c>
      <c r="W764" s="3">
        <v>0</v>
      </c>
      <c r="X764" s="3">
        <v>-116605.36611467398</v>
      </c>
      <c r="Y764" s="3">
        <v>0</v>
      </c>
      <c r="Z764" s="3">
        <v>10601.116873893379</v>
      </c>
      <c r="AA764" s="3">
        <v>-10601.116873893379</v>
      </c>
      <c r="AB764" s="3">
        <v>0</v>
      </c>
      <c r="AC764" s="3">
        <v>0</v>
      </c>
      <c r="AD764" s="3">
        <v>0</v>
      </c>
      <c r="AE764" s="3">
        <v>-127206.48298856737</v>
      </c>
      <c r="AF764" s="3">
        <v>0</v>
      </c>
      <c r="AG764" s="3">
        <v>-127206.48298856737</v>
      </c>
      <c r="AH764" s="3">
        <v>-127206.48298856737</v>
      </c>
      <c r="AI764" s="3">
        <v>612000</v>
      </c>
      <c r="AJ764" s="3">
        <v>0</v>
      </c>
    </row>
    <row r="765" spans="1:36" x14ac:dyDescent="0.2">
      <c r="A765" s="3" t="s">
        <v>68</v>
      </c>
      <c r="B765" s="3" t="s">
        <v>69</v>
      </c>
      <c r="C765" s="3" t="s">
        <v>71</v>
      </c>
      <c r="D765" s="3">
        <v>3</v>
      </c>
      <c r="E765" s="3">
        <v>2023</v>
      </c>
      <c r="F765" s="3">
        <v>1</v>
      </c>
      <c r="G765" s="3" t="s">
        <v>42</v>
      </c>
      <c r="H765" s="3" t="s">
        <v>46</v>
      </c>
      <c r="I765" s="5">
        <v>654412</v>
      </c>
      <c r="J765" s="3">
        <v>166529</v>
      </c>
      <c r="K765" s="3">
        <v>487883.00000000012</v>
      </c>
      <c r="L765" s="3">
        <v>392647.2</v>
      </c>
      <c r="M765" s="3">
        <v>95235.8</v>
      </c>
      <c r="N765" s="3">
        <v>287482.63216784247</v>
      </c>
      <c r="O765" s="3">
        <f t="shared" si="12"/>
        <v>58.924502835278624</v>
      </c>
      <c r="P765" s="3">
        <v>80666.666520000013</v>
      </c>
      <c r="Q765" s="3">
        <v>25135.220847000004</v>
      </c>
      <c r="R765" s="3">
        <v>125319.88757417584</v>
      </c>
      <c r="S765" s="3">
        <v>35774.566666666666</v>
      </c>
      <c r="T765" s="3">
        <v>0</v>
      </c>
      <c r="U765" s="3">
        <v>9523.58</v>
      </c>
      <c r="V765" s="3">
        <v>11062.71056</v>
      </c>
      <c r="W765" s="3">
        <v>0</v>
      </c>
      <c r="X765" s="3">
        <v>-192246.83216784251</v>
      </c>
      <c r="Y765" s="3">
        <v>0</v>
      </c>
      <c r="Z765" s="3">
        <v>12724.341480210907</v>
      </c>
      <c r="AA765" s="3">
        <v>-12724.341480210907</v>
      </c>
      <c r="AB765" s="3">
        <v>0</v>
      </c>
      <c r="AC765" s="3">
        <v>0</v>
      </c>
      <c r="AD765" s="3">
        <v>0</v>
      </c>
      <c r="AE765" s="3">
        <v>-204971.1736480534</v>
      </c>
      <c r="AF765" s="3">
        <v>0</v>
      </c>
      <c r="AG765" s="3">
        <v>-204971.1736480534</v>
      </c>
      <c r="AH765" s="3">
        <v>-204971.1736480534</v>
      </c>
      <c r="AI765" s="3">
        <v>462000.00000000006</v>
      </c>
      <c r="AJ765" s="3">
        <v>0</v>
      </c>
    </row>
    <row r="766" spans="1:36" x14ac:dyDescent="0.2">
      <c r="A766" s="3" t="s">
        <v>68</v>
      </c>
      <c r="B766" s="3" t="s">
        <v>69</v>
      </c>
      <c r="C766" s="3" t="s">
        <v>71</v>
      </c>
      <c r="D766" s="3">
        <v>1</v>
      </c>
      <c r="E766" s="3">
        <v>2023</v>
      </c>
      <c r="F766" s="3">
        <v>1</v>
      </c>
      <c r="G766" s="3" t="s">
        <v>42</v>
      </c>
      <c r="H766" s="3" t="s">
        <v>46</v>
      </c>
      <c r="I766" s="5">
        <v>764512</v>
      </c>
      <c r="J766" s="3">
        <v>0</v>
      </c>
      <c r="K766" s="3">
        <v>764512</v>
      </c>
      <c r="L766" s="3">
        <v>481107.20000000001</v>
      </c>
      <c r="M766" s="3">
        <v>283404.79999999999</v>
      </c>
      <c r="N766" s="3">
        <v>431996.62876005122</v>
      </c>
      <c r="O766" s="3">
        <f t="shared" si="12"/>
        <v>56.506193331177435</v>
      </c>
      <c r="P766" s="3">
        <v>102666.66648</v>
      </c>
      <c r="Q766" s="3">
        <v>31990.281078</v>
      </c>
      <c r="R766" s="3">
        <v>180440.69461538459</v>
      </c>
      <c r="S766" s="3">
        <v>52709.766666666677</v>
      </c>
      <c r="T766" s="3">
        <v>21963.48</v>
      </c>
      <c r="U766" s="3">
        <v>28340.479999999996</v>
      </c>
      <c r="V766" s="3">
        <v>13885.259919999999</v>
      </c>
      <c r="W766" s="3">
        <v>0</v>
      </c>
      <c r="X766" s="3">
        <v>-148591.82876005128</v>
      </c>
      <c r="Y766" s="3">
        <v>0</v>
      </c>
      <c r="Z766" s="3">
        <v>18553.722080750918</v>
      </c>
      <c r="AA766" s="3">
        <v>-18553.722080750918</v>
      </c>
      <c r="AB766" s="3">
        <v>0</v>
      </c>
      <c r="AC766" s="3">
        <v>0</v>
      </c>
      <c r="AD766" s="3">
        <v>0</v>
      </c>
      <c r="AE766" s="3">
        <v>-167145.5508408022</v>
      </c>
      <c r="AF766" s="3">
        <v>0</v>
      </c>
      <c r="AG766" s="3">
        <v>-167145.5508408022</v>
      </c>
      <c r="AH766" s="3">
        <v>-167145.5508408022</v>
      </c>
      <c r="AI766" s="3">
        <v>420000</v>
      </c>
      <c r="AJ766" s="3">
        <v>0</v>
      </c>
    </row>
    <row r="767" spans="1:36" x14ac:dyDescent="0.2">
      <c r="A767" s="3" t="s">
        <v>68</v>
      </c>
      <c r="B767" s="3" t="s">
        <v>69</v>
      </c>
      <c r="C767" s="3" t="s">
        <v>71</v>
      </c>
      <c r="D767" s="3">
        <v>3</v>
      </c>
      <c r="E767" s="3">
        <v>2023</v>
      </c>
      <c r="F767" s="3">
        <v>1</v>
      </c>
      <c r="G767" s="3" t="s">
        <v>48</v>
      </c>
      <c r="H767" s="3" t="s">
        <v>46</v>
      </c>
      <c r="I767" s="5">
        <v>27682202</v>
      </c>
      <c r="J767" s="3">
        <v>1473021.66</v>
      </c>
      <c r="K767" s="3">
        <v>26209180.34</v>
      </c>
      <c r="L767" s="3">
        <v>17927141.252</v>
      </c>
      <c r="M767" s="3">
        <v>8282039.0879999995</v>
      </c>
      <c r="N767" s="3">
        <v>11958768.46550023</v>
      </c>
      <c r="O767" s="3">
        <f t="shared" si="12"/>
        <v>45.628166582718208</v>
      </c>
      <c r="P767" s="3">
        <v>3710666.6599199991</v>
      </c>
      <c r="Q767" s="3">
        <v>1222695.5279325</v>
      </c>
      <c r="R767" s="3">
        <v>2146210.0266043954</v>
      </c>
      <c r="S767" s="3">
        <v>323832.07918333332</v>
      </c>
      <c r="T767" s="3">
        <v>2979986.6459399997</v>
      </c>
      <c r="U767" s="3">
        <v>828203.90879999986</v>
      </c>
      <c r="V767" s="3">
        <v>747173.61711999995</v>
      </c>
      <c r="W767" s="3">
        <v>0</v>
      </c>
      <c r="X767" s="3">
        <v>-3676729.3775002281</v>
      </c>
      <c r="Y767" s="3">
        <v>1094.0285799999999</v>
      </c>
      <c r="Z767" s="3">
        <v>1624711.1835606748</v>
      </c>
      <c r="AA767" s="3">
        <v>-1623617.1549806749</v>
      </c>
      <c r="AB767" s="3">
        <v>8049.9999999999991</v>
      </c>
      <c r="AC767" s="3">
        <v>0</v>
      </c>
      <c r="AD767" s="3">
        <v>8049.9999999999991</v>
      </c>
      <c r="AE767" s="3">
        <v>-5292296.5324809039</v>
      </c>
      <c r="AF767" s="3">
        <v>0</v>
      </c>
      <c r="AG767" s="3">
        <v>-5292296.5324809039</v>
      </c>
      <c r="AH767" s="3">
        <v>-5292296.5324809039</v>
      </c>
      <c r="AI767" s="3">
        <v>64399999.999999993</v>
      </c>
      <c r="AJ767" s="3">
        <v>8458307.5523202922</v>
      </c>
    </row>
    <row r="768" spans="1:36" x14ac:dyDescent="0.2">
      <c r="A768" s="3" t="s">
        <v>68</v>
      </c>
      <c r="B768" s="3" t="s">
        <v>69</v>
      </c>
      <c r="C768" s="3" t="s">
        <v>71</v>
      </c>
      <c r="D768" s="3">
        <v>2</v>
      </c>
      <c r="E768" s="3">
        <v>2023</v>
      </c>
      <c r="F768" s="3">
        <v>1</v>
      </c>
      <c r="G768" s="3" t="s">
        <v>48</v>
      </c>
      <c r="H768" s="3" t="s">
        <v>46</v>
      </c>
      <c r="I768" s="5">
        <v>55955691</v>
      </c>
      <c r="J768" s="3">
        <v>2600749.35</v>
      </c>
      <c r="K768" s="3">
        <v>53354941.649999999</v>
      </c>
      <c r="L768" s="3">
        <v>36084162.447000004</v>
      </c>
      <c r="M768" s="3">
        <v>17270779.203000002</v>
      </c>
      <c r="N768" s="3">
        <v>14271342.337281017</v>
      </c>
      <c r="O768" s="3">
        <f t="shared" ref="O768:O831" si="13">N768/K768*100</f>
        <v>26.747929799827673</v>
      </c>
      <c r="P768" s="3">
        <v>4355999.9920800002</v>
      </c>
      <c r="Q768" s="3">
        <v>1435338.2284425001</v>
      </c>
      <c r="R768" s="3">
        <v>2720000.5687335175</v>
      </c>
      <c r="S768" s="3">
        <v>448239.44812500005</v>
      </c>
      <c r="T768" s="3">
        <v>2470111.3587600002</v>
      </c>
      <c r="U768" s="3">
        <v>1727077.9203000003</v>
      </c>
      <c r="V768" s="3">
        <v>1114574.8208399999</v>
      </c>
      <c r="W768" s="3">
        <v>0</v>
      </c>
      <c r="X768" s="3">
        <v>2999436.8657189831</v>
      </c>
      <c r="Y768" s="3">
        <v>3039.8970600000002</v>
      </c>
      <c r="Z768" s="3">
        <v>2417332.4681315715</v>
      </c>
      <c r="AA768" s="3">
        <v>-2414292.5710715717</v>
      </c>
      <c r="AB768" s="3">
        <v>0</v>
      </c>
      <c r="AC768" s="3">
        <v>0</v>
      </c>
      <c r="AD768" s="3">
        <v>0</v>
      </c>
      <c r="AE768" s="3">
        <v>585144.29464741133</v>
      </c>
      <c r="AF768" s="3">
        <v>0</v>
      </c>
      <c r="AG768" s="3">
        <v>585144.29464741133</v>
      </c>
      <c r="AH768" s="3">
        <v>585144.29464741133</v>
      </c>
      <c r="AI768" s="3">
        <v>126090000</v>
      </c>
      <c r="AJ768" s="3">
        <v>9660398.5441310313</v>
      </c>
    </row>
    <row r="769" spans="1:36" x14ac:dyDescent="0.2">
      <c r="A769" s="3" t="s">
        <v>68</v>
      </c>
      <c r="B769" s="3" t="s">
        <v>69</v>
      </c>
      <c r="C769" s="3" t="s">
        <v>71</v>
      </c>
      <c r="D769" s="3">
        <v>1</v>
      </c>
      <c r="E769" s="3">
        <v>2023</v>
      </c>
      <c r="F769" s="3">
        <v>1</v>
      </c>
      <c r="G769" s="3" t="s">
        <v>48</v>
      </c>
      <c r="H769" s="3" t="s">
        <v>46</v>
      </c>
      <c r="I769" s="5">
        <v>69601791</v>
      </c>
      <c r="J769" s="3">
        <v>6071591.3100000005</v>
      </c>
      <c r="K769" s="3">
        <v>63530199.689999998</v>
      </c>
      <c r="L769" s="3">
        <v>47605142.058000006</v>
      </c>
      <c r="M769" s="3">
        <v>15925057.632000001</v>
      </c>
      <c r="N769" s="3">
        <v>9324586.8868285976</v>
      </c>
      <c r="O769" s="3">
        <f t="shared" si="13"/>
        <v>14.677408433042183</v>
      </c>
      <c r="P769" s="3">
        <v>2742666.6616799999</v>
      </c>
      <c r="Q769" s="3">
        <v>882080.66816750006</v>
      </c>
      <c r="R769" s="3">
        <v>1846325.8410677658</v>
      </c>
      <c r="S769" s="3">
        <v>332937.39533333335</v>
      </c>
      <c r="T769" s="3">
        <v>1123739.4349</v>
      </c>
      <c r="U769" s="3">
        <v>1592505.7632000002</v>
      </c>
      <c r="V769" s="3">
        <v>804331.1224799999</v>
      </c>
      <c r="W769" s="3">
        <v>0</v>
      </c>
      <c r="X769" s="3">
        <v>6600470.7451714016</v>
      </c>
      <c r="Y769" s="3">
        <v>1310.4837599999998</v>
      </c>
      <c r="Z769" s="3">
        <v>1416618.7039627666</v>
      </c>
      <c r="AA769" s="3">
        <v>-1415308.2202027664</v>
      </c>
      <c r="AB769" s="3">
        <v>5780</v>
      </c>
      <c r="AC769" s="3">
        <v>0</v>
      </c>
      <c r="AD769" s="3">
        <v>5780</v>
      </c>
      <c r="AE769" s="3">
        <v>5190942.5249686353</v>
      </c>
      <c r="AF769" s="3">
        <v>0</v>
      </c>
      <c r="AG769" s="3">
        <v>5190942.5249686353</v>
      </c>
      <c r="AH769" s="3">
        <v>5190942.5249686353</v>
      </c>
      <c r="AI769" s="3">
        <v>77860000</v>
      </c>
      <c r="AJ769" s="3">
        <v>5965252.0473157428</v>
      </c>
    </row>
    <row r="770" spans="1:36" x14ac:dyDescent="0.2">
      <c r="A770" s="3" t="s">
        <v>68</v>
      </c>
      <c r="B770" s="3" t="s">
        <v>69</v>
      </c>
      <c r="C770" s="3" t="s">
        <v>71</v>
      </c>
      <c r="D770" s="3">
        <v>1</v>
      </c>
      <c r="E770" s="3">
        <v>2023</v>
      </c>
      <c r="F770" s="3">
        <v>1</v>
      </c>
      <c r="G770" s="3" t="s">
        <v>39</v>
      </c>
      <c r="H770" s="3" t="s">
        <v>46</v>
      </c>
      <c r="I770" s="5">
        <v>389227963.22300005</v>
      </c>
      <c r="J770" s="3">
        <v>0</v>
      </c>
      <c r="K770" s="3">
        <v>389227963.22300005</v>
      </c>
      <c r="L770" s="3">
        <v>388100908.63499999</v>
      </c>
      <c r="M770" s="3">
        <v>1127054.588</v>
      </c>
      <c r="N770" s="3">
        <v>699126.5091213272</v>
      </c>
      <c r="O770" s="3">
        <f t="shared" si="13"/>
        <v>0.17961877747225918</v>
      </c>
      <c r="P770" s="3">
        <v>60499.999890000006</v>
      </c>
      <c r="Q770" s="3">
        <v>27441.543085000005</v>
      </c>
      <c r="R770" s="3">
        <v>247832.31792390923</v>
      </c>
      <c r="S770" s="3">
        <v>18205.091666666667</v>
      </c>
      <c r="T770" s="3">
        <v>223957.2124457513</v>
      </c>
      <c r="U770" s="3">
        <v>112705.45880000002</v>
      </c>
      <c r="V770" s="3">
        <v>8484.8853100000015</v>
      </c>
      <c r="W770" s="3">
        <v>0</v>
      </c>
      <c r="X770" s="3">
        <v>427928.07887867297</v>
      </c>
      <c r="Y770" s="3">
        <v>51468.203046428818</v>
      </c>
      <c r="Z770" s="3">
        <v>71357.462313977652</v>
      </c>
      <c r="AA770" s="3">
        <v>-19889.259267548845</v>
      </c>
      <c r="AB770" s="3">
        <v>13475</v>
      </c>
      <c r="AC770" s="3">
        <v>7920.0000000000009</v>
      </c>
      <c r="AD770" s="3">
        <v>5555</v>
      </c>
      <c r="AE770" s="3">
        <v>413593.81961112411</v>
      </c>
      <c r="AF770" s="3">
        <v>0</v>
      </c>
      <c r="AG770" s="3">
        <v>413593.81961112411</v>
      </c>
      <c r="AH770" s="3">
        <v>413593.81961112411</v>
      </c>
      <c r="AI770" s="3">
        <v>642227963.22300005</v>
      </c>
      <c r="AJ770" s="3">
        <v>429000</v>
      </c>
    </row>
    <row r="771" spans="1:36" x14ac:dyDescent="0.2">
      <c r="A771" s="3" t="s">
        <v>68</v>
      </c>
      <c r="B771" s="3" t="s">
        <v>69</v>
      </c>
      <c r="C771" s="3" t="s">
        <v>71</v>
      </c>
      <c r="D771" s="3">
        <v>2</v>
      </c>
      <c r="E771" s="3">
        <v>2023</v>
      </c>
      <c r="F771" s="3">
        <v>1</v>
      </c>
      <c r="G771" s="3" t="s">
        <v>39</v>
      </c>
      <c r="H771" s="3" t="s">
        <v>46</v>
      </c>
      <c r="I771" s="5">
        <v>485932306.70230412</v>
      </c>
      <c r="J771" s="3">
        <v>0</v>
      </c>
      <c r="K771" s="3">
        <v>485932306.70230412</v>
      </c>
      <c r="L771" s="3">
        <v>483565875.62800002</v>
      </c>
      <c r="M771" s="3">
        <v>2366431.0743040163</v>
      </c>
      <c r="N771" s="3">
        <v>688566.81197493826</v>
      </c>
      <c r="O771" s="3">
        <f t="shared" si="13"/>
        <v>0.14170015092179777</v>
      </c>
      <c r="P771" s="3">
        <v>60499.999890000006</v>
      </c>
      <c r="Q771" s="3">
        <v>27441.543085000005</v>
      </c>
      <c r="R771" s="3">
        <v>306811.77479864506</v>
      </c>
      <c r="S771" s="3">
        <v>18205.091666666667</v>
      </c>
      <c r="T771" s="3">
        <v>30968.088634224914</v>
      </c>
      <c r="U771" s="3">
        <v>236643.10743040161</v>
      </c>
      <c r="V771" s="3">
        <v>7997.206470000001</v>
      </c>
      <c r="W771" s="3">
        <v>0</v>
      </c>
      <c r="X771" s="3">
        <v>1677864.262329078</v>
      </c>
      <c r="Y771" s="3">
        <v>44873.529813567438</v>
      </c>
      <c r="Z771" s="3">
        <v>68593.635412681251</v>
      </c>
      <c r="AA771" s="3">
        <v>-23720.105599113806</v>
      </c>
      <c r="AB771" s="3">
        <v>12320</v>
      </c>
      <c r="AC771" s="3">
        <v>9570.0000000000018</v>
      </c>
      <c r="AD771" s="3">
        <v>2750</v>
      </c>
      <c r="AE771" s="3">
        <v>1656894.1567299643</v>
      </c>
      <c r="AF771" s="3">
        <v>0</v>
      </c>
      <c r="AG771" s="3">
        <v>1656894.1567299643</v>
      </c>
      <c r="AH771" s="3">
        <v>1656894.1567299643</v>
      </c>
      <c r="AI771" s="3">
        <v>485932306.70230412</v>
      </c>
      <c r="AJ771" s="3">
        <v>385000</v>
      </c>
    </row>
    <row r="772" spans="1:36" x14ac:dyDescent="0.2">
      <c r="A772" s="3" t="s">
        <v>68</v>
      </c>
      <c r="B772" s="3" t="s">
        <v>69</v>
      </c>
      <c r="C772" s="3" t="s">
        <v>71</v>
      </c>
      <c r="D772" s="3">
        <v>3</v>
      </c>
      <c r="E772" s="3">
        <v>2023</v>
      </c>
      <c r="F772" s="3">
        <v>1</v>
      </c>
      <c r="G772" s="3" t="s">
        <v>39</v>
      </c>
      <c r="H772" s="3" t="s">
        <v>46</v>
      </c>
      <c r="I772" s="5">
        <v>655262576.125</v>
      </c>
      <c r="J772" s="3">
        <v>0</v>
      </c>
      <c r="K772" s="3">
        <v>655262576.125</v>
      </c>
      <c r="L772" s="3">
        <v>651914810.5</v>
      </c>
      <c r="M772" s="3">
        <v>3347765.625</v>
      </c>
      <c r="N772" s="3">
        <v>1316715.4655093323</v>
      </c>
      <c r="O772" s="3">
        <f t="shared" si="13"/>
        <v>0.20094470727993344</v>
      </c>
      <c r="P772" s="3">
        <v>137499.99975000002</v>
      </c>
      <c r="Q772" s="3">
        <v>62367.143375</v>
      </c>
      <c r="R772" s="3">
        <v>619104.80317994696</v>
      </c>
      <c r="S772" s="3">
        <v>41375.208333333328</v>
      </c>
      <c r="T772" s="3">
        <v>102734.85537105188</v>
      </c>
      <c r="U772" s="3">
        <v>334776.5625</v>
      </c>
      <c r="V772" s="3">
        <v>18856.892999999996</v>
      </c>
      <c r="W772" s="3">
        <v>0</v>
      </c>
      <c r="X772" s="3">
        <v>2031050.1594906682</v>
      </c>
      <c r="Y772" s="3">
        <v>116520.86063180011</v>
      </c>
      <c r="Z772" s="3">
        <v>172475.7842562898</v>
      </c>
      <c r="AA772" s="3">
        <v>-55954.923624489718</v>
      </c>
      <c r="AB772" s="3">
        <v>14000</v>
      </c>
      <c r="AC772" s="3">
        <v>10500</v>
      </c>
      <c r="AD772" s="3">
        <v>3500</v>
      </c>
      <c r="AE772" s="3">
        <v>1978595.2358661783</v>
      </c>
      <c r="AF772" s="3">
        <v>0</v>
      </c>
      <c r="AG772" s="3">
        <v>1978595.2358661783</v>
      </c>
      <c r="AH772" s="3">
        <v>1978595.2358661783</v>
      </c>
      <c r="AI772" s="3">
        <v>655262576.125</v>
      </c>
      <c r="AJ772" s="3">
        <v>725000</v>
      </c>
    </row>
    <row r="773" spans="1:36" x14ac:dyDescent="0.2">
      <c r="A773" s="3" t="s">
        <v>68</v>
      </c>
      <c r="B773" s="3" t="s">
        <v>69</v>
      </c>
      <c r="C773" s="3" t="s">
        <v>72</v>
      </c>
      <c r="D773" s="3">
        <v>3</v>
      </c>
      <c r="E773" s="3">
        <v>2023</v>
      </c>
      <c r="F773" s="3">
        <v>1</v>
      </c>
      <c r="G773" s="3" t="s">
        <v>42</v>
      </c>
      <c r="H773" s="3" t="s">
        <v>46</v>
      </c>
      <c r="I773" s="5">
        <v>20020.000000000004</v>
      </c>
      <c r="J773" s="3">
        <v>5005.0000000000009</v>
      </c>
      <c r="K773" s="3">
        <v>15015.000000000002</v>
      </c>
      <c r="L773" s="3">
        <v>12012</v>
      </c>
      <c r="M773" s="3">
        <v>3003</v>
      </c>
      <c r="N773" s="3">
        <v>158374.942572</v>
      </c>
      <c r="O773" s="3">
        <f t="shared" si="13"/>
        <v>1054.7781723076921</v>
      </c>
      <c r="P773" s="3">
        <v>50861.382000000005</v>
      </c>
      <c r="Q773" s="3">
        <v>14596.632600000003</v>
      </c>
      <c r="R773" s="3">
        <v>69840.260600000009</v>
      </c>
      <c r="S773" s="3">
        <v>6513.65</v>
      </c>
      <c r="T773" s="3">
        <v>0</v>
      </c>
      <c r="U773" s="3">
        <v>300.30000000000007</v>
      </c>
      <c r="V773" s="3">
        <v>16262.717372000003</v>
      </c>
      <c r="W773" s="3">
        <v>0</v>
      </c>
      <c r="X773" s="3">
        <v>-155371.942572</v>
      </c>
      <c r="Y773" s="3">
        <v>0</v>
      </c>
      <c r="Z773" s="3">
        <v>14973.382961242669</v>
      </c>
      <c r="AA773" s="3">
        <v>-14973.382961242669</v>
      </c>
      <c r="AB773" s="3">
        <v>0</v>
      </c>
      <c r="AC773" s="3">
        <v>0</v>
      </c>
      <c r="AD773" s="3">
        <v>0</v>
      </c>
      <c r="AE773" s="3">
        <v>-170345.32553324269</v>
      </c>
      <c r="AF773" s="3">
        <v>0</v>
      </c>
      <c r="AG773" s="3">
        <v>-170345.32553324269</v>
      </c>
      <c r="AH773" s="3">
        <v>-170345.32553324269</v>
      </c>
      <c r="AI773" s="3">
        <v>374000</v>
      </c>
      <c r="AJ773" s="3">
        <v>0</v>
      </c>
    </row>
    <row r="774" spans="1:36" x14ac:dyDescent="0.2">
      <c r="A774" s="3" t="s">
        <v>68</v>
      </c>
      <c r="B774" s="3" t="s">
        <v>69</v>
      </c>
      <c r="C774" s="3" t="s">
        <v>72</v>
      </c>
      <c r="D774" s="3">
        <v>2</v>
      </c>
      <c r="E774" s="3">
        <v>2023</v>
      </c>
      <c r="F774" s="3">
        <v>1</v>
      </c>
      <c r="G774" s="3" t="s">
        <v>42</v>
      </c>
      <c r="H774" s="3" t="s">
        <v>46</v>
      </c>
      <c r="I774" s="5">
        <v>209880</v>
      </c>
      <c r="J774" s="3">
        <v>7002</v>
      </c>
      <c r="K774" s="3">
        <v>202878</v>
      </c>
      <c r="L774" s="3">
        <v>125928</v>
      </c>
      <c r="M774" s="3">
        <v>76950</v>
      </c>
      <c r="N774" s="3">
        <v>170413.36559999999</v>
      </c>
      <c r="O774" s="3">
        <f t="shared" si="13"/>
        <v>83.997952266879594</v>
      </c>
      <c r="P774" s="3">
        <v>41613.858</v>
      </c>
      <c r="Q774" s="3">
        <v>11942.699400000001</v>
      </c>
      <c r="R774" s="3">
        <v>60856.280100000004</v>
      </c>
      <c r="S774" s="3">
        <v>14859</v>
      </c>
      <c r="T774" s="3">
        <v>6300</v>
      </c>
      <c r="U774" s="3">
        <v>7695</v>
      </c>
      <c r="V774" s="3">
        <v>27146.528100000003</v>
      </c>
      <c r="W774" s="3">
        <v>0</v>
      </c>
      <c r="X774" s="3">
        <v>-93463.365599999976</v>
      </c>
      <c r="Y774" s="3">
        <v>0</v>
      </c>
      <c r="Z774" s="3">
        <v>14531.289897734834</v>
      </c>
      <c r="AA774" s="3">
        <v>-14531.289897734834</v>
      </c>
      <c r="AB774" s="3">
        <v>0</v>
      </c>
      <c r="AC774" s="3">
        <v>0</v>
      </c>
      <c r="AD774" s="3">
        <v>0</v>
      </c>
      <c r="AE774" s="3">
        <v>-107994.65549773481</v>
      </c>
      <c r="AF774" s="3">
        <v>0</v>
      </c>
      <c r="AG774" s="3">
        <v>-107994.65549773481</v>
      </c>
      <c r="AH774" s="3">
        <v>-107994.65549773481</v>
      </c>
      <c r="AI774" s="3">
        <v>180000</v>
      </c>
      <c r="AJ774" s="3">
        <v>0</v>
      </c>
    </row>
    <row r="775" spans="1:36" x14ac:dyDescent="0.2">
      <c r="A775" s="3" t="s">
        <v>68</v>
      </c>
      <c r="B775" s="3" t="s">
        <v>69</v>
      </c>
      <c r="C775" s="3" t="s">
        <v>72</v>
      </c>
      <c r="D775" s="3">
        <v>1</v>
      </c>
      <c r="E775" s="3">
        <v>2023</v>
      </c>
      <c r="F775" s="3">
        <v>1</v>
      </c>
      <c r="G775" s="3" t="s">
        <v>42</v>
      </c>
      <c r="H775" s="3" t="s">
        <v>46</v>
      </c>
      <c r="I775" s="5">
        <v>440164</v>
      </c>
      <c r="J775" s="3">
        <v>18305.599999999999</v>
      </c>
      <c r="K775" s="3">
        <v>421858.39999999997</v>
      </c>
      <c r="L775" s="3">
        <v>264098.40000000002</v>
      </c>
      <c r="M775" s="3">
        <v>157760</v>
      </c>
      <c r="N775" s="3">
        <v>174808.36330000003</v>
      </c>
      <c r="O775" s="3">
        <f t="shared" si="13"/>
        <v>41.437686982172231</v>
      </c>
      <c r="P775" s="3">
        <v>39301.976999999999</v>
      </c>
      <c r="Q775" s="3">
        <v>11279.216100000001</v>
      </c>
      <c r="R775" s="3">
        <v>60169.714999999997</v>
      </c>
      <c r="S775" s="3">
        <v>25546.07</v>
      </c>
      <c r="T775" s="3">
        <v>5005.99</v>
      </c>
      <c r="U775" s="3">
        <v>15776</v>
      </c>
      <c r="V775" s="3">
        <v>17729.395200000003</v>
      </c>
      <c r="W775" s="3">
        <v>0</v>
      </c>
      <c r="X775" s="3">
        <v>-17048.363300000005</v>
      </c>
      <c r="Y775" s="3">
        <v>0</v>
      </c>
      <c r="Z775" s="3">
        <v>13761.39154667716</v>
      </c>
      <c r="AA775" s="3">
        <v>-13761.39154667716</v>
      </c>
      <c r="AB775" s="3">
        <v>0</v>
      </c>
      <c r="AC775" s="3">
        <v>0</v>
      </c>
      <c r="AD775" s="3">
        <v>0</v>
      </c>
      <c r="AE775" s="3">
        <v>-30809.754846677166</v>
      </c>
      <c r="AF775" s="3">
        <v>0</v>
      </c>
      <c r="AG775" s="3">
        <v>-30809.754846677166</v>
      </c>
      <c r="AH775" s="3">
        <v>-30809.754846677166</v>
      </c>
      <c r="AI775" s="3">
        <v>323000</v>
      </c>
      <c r="AJ775" s="3">
        <v>0</v>
      </c>
    </row>
    <row r="776" spans="1:36" x14ac:dyDescent="0.2">
      <c r="A776" s="3" t="s">
        <v>68</v>
      </c>
      <c r="B776" s="3" t="s">
        <v>69</v>
      </c>
      <c r="C776" s="3" t="s">
        <v>72</v>
      </c>
      <c r="D776" s="3">
        <v>3</v>
      </c>
      <c r="E776" s="3">
        <v>2023</v>
      </c>
      <c r="F776" s="3">
        <v>1</v>
      </c>
      <c r="G776" s="3" t="s">
        <v>48</v>
      </c>
      <c r="H776" s="3" t="s">
        <v>46</v>
      </c>
      <c r="I776" s="5">
        <v>2423434</v>
      </c>
      <c r="J776" s="3">
        <v>93783.3</v>
      </c>
      <c r="K776" s="3">
        <v>2329650.7000000002</v>
      </c>
      <c r="L776" s="3">
        <v>1873294.2020000003</v>
      </c>
      <c r="M776" s="3">
        <v>456356.49800000008</v>
      </c>
      <c r="N776" s="3">
        <v>1932897.1919920002</v>
      </c>
      <c r="O776" s="3">
        <f t="shared" si="13"/>
        <v>82.969399317760377</v>
      </c>
      <c r="P776" s="3">
        <v>540980.15399999998</v>
      </c>
      <c r="Q776" s="3">
        <v>35457.679218000005</v>
      </c>
      <c r="R776" s="3">
        <v>742846.40819999995</v>
      </c>
      <c r="S776" s="3">
        <v>76342.153549999988</v>
      </c>
      <c r="T776" s="3">
        <v>318658.97154</v>
      </c>
      <c r="U776" s="3">
        <v>45635.649799999999</v>
      </c>
      <c r="V776" s="3">
        <v>172976.17568400002</v>
      </c>
      <c r="W776" s="3">
        <v>0</v>
      </c>
      <c r="X776" s="3">
        <v>-1476540.6939920003</v>
      </c>
      <c r="Y776" s="3">
        <v>116.98778000000003</v>
      </c>
      <c r="Z776" s="3">
        <v>182427.51097431383</v>
      </c>
      <c r="AA776" s="3">
        <v>-182310.52319431384</v>
      </c>
      <c r="AB776" s="3">
        <v>0</v>
      </c>
      <c r="AC776" s="3">
        <v>0</v>
      </c>
      <c r="AD776" s="3">
        <v>0</v>
      </c>
      <c r="AE776" s="3">
        <v>-1658851.2171863138</v>
      </c>
      <c r="AF776" s="3">
        <v>0</v>
      </c>
      <c r="AG776" s="3">
        <v>-1658851.2171863138</v>
      </c>
      <c r="AH776" s="3">
        <v>-1658851.2171863138</v>
      </c>
      <c r="AI776" s="3">
        <v>3900000</v>
      </c>
      <c r="AJ776" s="3">
        <v>1181584.1584158416</v>
      </c>
    </row>
    <row r="777" spans="1:36" x14ac:dyDescent="0.2">
      <c r="A777" s="3" t="s">
        <v>68</v>
      </c>
      <c r="B777" s="3" t="s">
        <v>69</v>
      </c>
      <c r="C777" s="3" t="s">
        <v>72</v>
      </c>
      <c r="D777" s="3">
        <v>2</v>
      </c>
      <c r="E777" s="3">
        <v>2023</v>
      </c>
      <c r="F777" s="3">
        <v>1</v>
      </c>
      <c r="G777" s="3" t="s">
        <v>48</v>
      </c>
      <c r="H777" s="3" t="s">
        <v>46</v>
      </c>
      <c r="I777" s="5">
        <v>6155908</v>
      </c>
      <c r="J777" s="3">
        <v>91468.52</v>
      </c>
      <c r="K777" s="3">
        <v>6064439.4799999995</v>
      </c>
      <c r="L777" s="3">
        <v>3983014.5959999999</v>
      </c>
      <c r="M777" s="3">
        <v>2081424.8840000001</v>
      </c>
      <c r="N777" s="3">
        <v>1937468.3403460004</v>
      </c>
      <c r="O777" s="3">
        <f t="shared" si="13"/>
        <v>31.948020039372221</v>
      </c>
      <c r="P777" s="3">
        <v>457752.43800000002</v>
      </c>
      <c r="Q777" s="3">
        <v>30002.651646000009</v>
      </c>
      <c r="R777" s="3">
        <v>669419.08110000007</v>
      </c>
      <c r="S777" s="3">
        <v>96250.576620000007</v>
      </c>
      <c r="T777" s="3">
        <v>177289.29548</v>
      </c>
      <c r="U777" s="3">
        <v>208142.48840000003</v>
      </c>
      <c r="V777" s="3">
        <v>298611.80910000001</v>
      </c>
      <c r="W777" s="3">
        <v>0</v>
      </c>
      <c r="X777" s="3">
        <v>143956.54365400001</v>
      </c>
      <c r="Y777" s="3">
        <v>234.30638000000002</v>
      </c>
      <c r="Z777" s="3">
        <v>187024.11887717585</v>
      </c>
      <c r="AA777" s="3">
        <v>-186789.81249717588</v>
      </c>
      <c r="AB777" s="3">
        <v>0</v>
      </c>
      <c r="AC777" s="3">
        <v>0</v>
      </c>
      <c r="AD777" s="3">
        <v>0</v>
      </c>
      <c r="AE777" s="3">
        <v>-42833.268843175902</v>
      </c>
      <c r="AF777" s="3">
        <v>0</v>
      </c>
      <c r="AG777" s="3">
        <v>-42833.268843175902</v>
      </c>
      <c r="AH777" s="3">
        <v>-42833.268843175902</v>
      </c>
      <c r="AI777" s="3">
        <v>9240000.0000000019</v>
      </c>
      <c r="AJ777" s="3">
        <v>933148.51485148538</v>
      </c>
    </row>
    <row r="778" spans="1:36" x14ac:dyDescent="0.2">
      <c r="A778" s="3" t="s">
        <v>68</v>
      </c>
      <c r="B778" s="3" t="s">
        <v>69</v>
      </c>
      <c r="C778" s="3" t="s">
        <v>72</v>
      </c>
      <c r="D778" s="3">
        <v>1</v>
      </c>
      <c r="E778" s="3">
        <v>2023</v>
      </c>
      <c r="F778" s="3">
        <v>1</v>
      </c>
      <c r="G778" s="3" t="s">
        <v>48</v>
      </c>
      <c r="H778" s="3" t="s">
        <v>46</v>
      </c>
      <c r="I778" s="5">
        <v>10410180</v>
      </c>
      <c r="J778" s="3">
        <v>868375.5</v>
      </c>
      <c r="K778" s="3">
        <v>9541804.5</v>
      </c>
      <c r="L778" s="3">
        <v>5876939.9100000001</v>
      </c>
      <c r="M778" s="3">
        <v>3664864.59</v>
      </c>
      <c r="N778" s="3">
        <v>2615469.3282900006</v>
      </c>
      <c r="O778" s="3">
        <f t="shared" si="13"/>
        <v>27.410636303541963</v>
      </c>
      <c r="P778" s="3">
        <v>624207.87</v>
      </c>
      <c r="Q778" s="3">
        <v>37298.501790000002</v>
      </c>
      <c r="R778" s="3">
        <v>955636.65000000014</v>
      </c>
      <c r="S778" s="3">
        <v>133246.41</v>
      </c>
      <c r="T778" s="3">
        <v>217008.92550000004</v>
      </c>
      <c r="U778" s="3">
        <v>366486.45900000003</v>
      </c>
      <c r="V778" s="3">
        <v>281584.51200000005</v>
      </c>
      <c r="W778" s="3">
        <v>0</v>
      </c>
      <c r="X778" s="3">
        <v>1049395.2617099995</v>
      </c>
      <c r="Y778" s="3">
        <v>218.76120000000003</v>
      </c>
      <c r="Z778" s="3">
        <v>235923.55214959508</v>
      </c>
      <c r="AA778" s="3">
        <v>-235704.79094959507</v>
      </c>
      <c r="AB778" s="3">
        <v>0</v>
      </c>
      <c r="AC778" s="3">
        <v>0</v>
      </c>
      <c r="AD778" s="3">
        <v>0</v>
      </c>
      <c r="AE778" s="3">
        <v>813690.47076040437</v>
      </c>
      <c r="AF778" s="3">
        <v>0</v>
      </c>
      <c r="AG778" s="3">
        <v>813690.47076040437</v>
      </c>
      <c r="AH778" s="3">
        <v>813690.47076040437</v>
      </c>
      <c r="AI778" s="3">
        <v>11400000</v>
      </c>
      <c r="AJ778" s="3">
        <v>1151287.1287128713</v>
      </c>
    </row>
    <row r="779" spans="1:36" x14ac:dyDescent="0.2">
      <c r="A779" s="3" t="s">
        <v>68</v>
      </c>
      <c r="B779" s="3" t="s">
        <v>69</v>
      </c>
      <c r="C779" s="3" t="s">
        <v>73</v>
      </c>
      <c r="D779" s="3">
        <v>1</v>
      </c>
      <c r="E779" s="3">
        <v>2023</v>
      </c>
      <c r="F779" s="3">
        <v>1</v>
      </c>
      <c r="G779" s="3" t="s">
        <v>43</v>
      </c>
      <c r="H779" s="3" t="s">
        <v>40</v>
      </c>
      <c r="I779" s="5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 t="e">
        <f t="shared" si="13"/>
        <v>#DIV/0!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v>0</v>
      </c>
    </row>
    <row r="780" spans="1:36" x14ac:dyDescent="0.2">
      <c r="A780" s="3" t="s">
        <v>68</v>
      </c>
      <c r="B780" s="3" t="s">
        <v>69</v>
      </c>
      <c r="C780" s="3" t="s">
        <v>73</v>
      </c>
      <c r="D780" s="3">
        <v>2</v>
      </c>
      <c r="E780" s="3">
        <v>2023</v>
      </c>
      <c r="F780" s="3">
        <v>1</v>
      </c>
      <c r="G780" s="3" t="s">
        <v>43</v>
      </c>
      <c r="H780" s="3" t="s">
        <v>40</v>
      </c>
      <c r="I780" s="5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 t="e">
        <f t="shared" si="13"/>
        <v>#DIV/0!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s="3">
        <v>0</v>
      </c>
    </row>
    <row r="781" spans="1:36" x14ac:dyDescent="0.2">
      <c r="A781" s="3" t="s">
        <v>68</v>
      </c>
      <c r="B781" s="3" t="s">
        <v>69</v>
      </c>
      <c r="C781" s="3" t="s">
        <v>73</v>
      </c>
      <c r="D781" s="3">
        <v>2</v>
      </c>
      <c r="E781" s="3">
        <v>2023</v>
      </c>
      <c r="F781" s="3">
        <v>1</v>
      </c>
      <c r="G781" s="3" t="s">
        <v>48</v>
      </c>
      <c r="H781" s="3" t="s">
        <v>46</v>
      </c>
      <c r="I781" s="5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 t="e">
        <f t="shared" si="13"/>
        <v>#DIV/0!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</row>
    <row r="782" spans="1:36" x14ac:dyDescent="0.2">
      <c r="A782" s="3" t="s">
        <v>68</v>
      </c>
      <c r="B782" s="3" t="s">
        <v>69</v>
      </c>
      <c r="C782" s="3" t="s">
        <v>73</v>
      </c>
      <c r="D782" s="3">
        <v>3</v>
      </c>
      <c r="E782" s="3">
        <v>2023</v>
      </c>
      <c r="F782" s="3">
        <v>1</v>
      </c>
      <c r="G782" s="3" t="s">
        <v>48</v>
      </c>
      <c r="H782" s="3" t="s">
        <v>46</v>
      </c>
      <c r="I782" s="5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 t="e">
        <f t="shared" si="13"/>
        <v>#DIV/0!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</row>
    <row r="783" spans="1:36" x14ac:dyDescent="0.2">
      <c r="A783" s="3" t="s">
        <v>68</v>
      </c>
      <c r="B783" s="3" t="s">
        <v>69</v>
      </c>
      <c r="C783" s="3" t="s">
        <v>73</v>
      </c>
      <c r="D783" s="3">
        <v>3</v>
      </c>
      <c r="E783" s="3">
        <v>2023</v>
      </c>
      <c r="F783" s="3">
        <v>1</v>
      </c>
      <c r="G783" s="3" t="s">
        <v>42</v>
      </c>
      <c r="H783" s="3" t="s">
        <v>40</v>
      </c>
      <c r="I783" s="5">
        <v>379428</v>
      </c>
      <c r="J783" s="3">
        <v>56914.2</v>
      </c>
      <c r="K783" s="3">
        <v>322513.8</v>
      </c>
      <c r="L783" s="3">
        <v>210000</v>
      </c>
      <c r="M783" s="3">
        <v>112513.79999999999</v>
      </c>
      <c r="N783" s="3">
        <v>313209.05297189351</v>
      </c>
      <c r="O783" s="3">
        <f t="shared" si="13"/>
        <v>97.114930577201193</v>
      </c>
      <c r="P783" s="3">
        <v>0</v>
      </c>
      <c r="Q783" s="3">
        <v>1234.40625</v>
      </c>
      <c r="R783" s="3">
        <v>252854.66272189346</v>
      </c>
      <c r="S783" s="3">
        <v>47868.604000000007</v>
      </c>
      <c r="T783" s="3">
        <v>0</v>
      </c>
      <c r="U783" s="3">
        <v>11251.38</v>
      </c>
      <c r="V783" s="3">
        <v>0</v>
      </c>
      <c r="W783" s="3">
        <v>0</v>
      </c>
      <c r="X783" s="3">
        <v>-200695.2529718935</v>
      </c>
      <c r="Y783" s="3">
        <v>0</v>
      </c>
      <c r="Z783" s="3">
        <v>91989.730632083112</v>
      </c>
      <c r="AA783" s="3">
        <v>-91989.730632083112</v>
      </c>
      <c r="AB783" s="3">
        <v>0</v>
      </c>
      <c r="AC783" s="3">
        <v>0</v>
      </c>
      <c r="AD783" s="3">
        <v>0</v>
      </c>
      <c r="AE783" s="3">
        <v>-292684.98360397655</v>
      </c>
      <c r="AF783" s="3">
        <v>0</v>
      </c>
      <c r="AG783" s="3">
        <v>-292684.98360397655</v>
      </c>
      <c r="AH783" s="3">
        <v>-292684.98360397655</v>
      </c>
      <c r="AI783" s="3">
        <v>630000</v>
      </c>
      <c r="AJ783" s="3">
        <v>0</v>
      </c>
    </row>
    <row r="784" spans="1:36" x14ac:dyDescent="0.2">
      <c r="A784" s="3" t="s">
        <v>68</v>
      </c>
      <c r="B784" s="3" t="s">
        <v>69</v>
      </c>
      <c r="C784" s="3" t="s">
        <v>73</v>
      </c>
      <c r="D784" s="3">
        <v>1</v>
      </c>
      <c r="E784" s="3">
        <v>2023</v>
      </c>
      <c r="F784" s="3">
        <v>1</v>
      </c>
      <c r="G784" s="3" t="s">
        <v>42</v>
      </c>
      <c r="H784" s="3" t="s">
        <v>40</v>
      </c>
      <c r="I784" s="5">
        <v>633800</v>
      </c>
      <c r="J784" s="3">
        <v>95070</v>
      </c>
      <c r="K784" s="3">
        <v>538730</v>
      </c>
      <c r="L784" s="3">
        <v>380280</v>
      </c>
      <c r="M784" s="3">
        <v>158450</v>
      </c>
      <c r="N784" s="3">
        <v>342448.13611111109</v>
      </c>
      <c r="O784" s="3">
        <f t="shared" si="13"/>
        <v>63.565818890930728</v>
      </c>
      <c r="P784" s="3">
        <v>0</v>
      </c>
      <c r="Q784" s="3">
        <v>1175.625</v>
      </c>
      <c r="R784" s="3">
        <v>220434.44444444444</v>
      </c>
      <c r="S784" s="3">
        <v>47953.166666666664</v>
      </c>
      <c r="T784" s="3">
        <v>48279</v>
      </c>
      <c r="U784" s="3">
        <v>15845</v>
      </c>
      <c r="V784" s="3">
        <v>8760.9</v>
      </c>
      <c r="W784" s="3">
        <v>0</v>
      </c>
      <c r="X784" s="3">
        <v>-183998.13611111112</v>
      </c>
      <c r="Y784" s="3">
        <v>0</v>
      </c>
      <c r="Z784" s="3">
        <v>64143.327744108276</v>
      </c>
      <c r="AA784" s="3">
        <v>-64143.327744108276</v>
      </c>
      <c r="AB784" s="3">
        <v>0</v>
      </c>
      <c r="AC784" s="3">
        <v>0</v>
      </c>
      <c r="AD784" s="3">
        <v>0</v>
      </c>
      <c r="AE784" s="3">
        <v>-248141.46385521942</v>
      </c>
      <c r="AF784" s="3">
        <v>0</v>
      </c>
      <c r="AG784" s="3">
        <v>-248141.46385521942</v>
      </c>
      <c r="AH784" s="3">
        <v>-248141.46385521942</v>
      </c>
      <c r="AI784" s="3">
        <v>500000</v>
      </c>
      <c r="AJ784" s="3">
        <v>0</v>
      </c>
    </row>
    <row r="785" spans="1:36" x14ac:dyDescent="0.2">
      <c r="A785" s="3" t="s">
        <v>68</v>
      </c>
      <c r="B785" s="3" t="s">
        <v>69</v>
      </c>
      <c r="C785" s="3" t="s">
        <v>73</v>
      </c>
      <c r="D785" s="3">
        <v>3</v>
      </c>
      <c r="E785" s="3">
        <v>2023</v>
      </c>
      <c r="F785" s="3">
        <v>1</v>
      </c>
      <c r="G785" s="3" t="s">
        <v>43</v>
      </c>
      <c r="H785" s="3" t="s">
        <v>40</v>
      </c>
      <c r="I785" s="5">
        <v>923452.17999999993</v>
      </c>
      <c r="J785" s="3">
        <v>0</v>
      </c>
      <c r="K785" s="3">
        <v>923452.17999999993</v>
      </c>
      <c r="L785" s="3">
        <v>851776.60000000009</v>
      </c>
      <c r="M785" s="3">
        <v>71675.58</v>
      </c>
      <c r="N785" s="3">
        <v>0</v>
      </c>
      <c r="O785" s="3">
        <f t="shared" si="13"/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71675.58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71675.58</v>
      </c>
      <c r="AF785" s="3">
        <v>0</v>
      </c>
      <c r="AG785" s="3">
        <v>71675.58</v>
      </c>
      <c r="AH785" s="3">
        <v>71675.58</v>
      </c>
      <c r="AI785" s="3">
        <v>0</v>
      </c>
      <c r="AJ785" s="3">
        <v>0</v>
      </c>
    </row>
    <row r="786" spans="1:36" x14ac:dyDescent="0.2">
      <c r="A786" s="3" t="s">
        <v>68</v>
      </c>
      <c r="B786" s="3" t="s">
        <v>69</v>
      </c>
      <c r="C786" s="3" t="s">
        <v>73</v>
      </c>
      <c r="D786" s="3">
        <v>2</v>
      </c>
      <c r="E786" s="3">
        <v>2023</v>
      </c>
      <c r="F786" s="3">
        <v>1</v>
      </c>
      <c r="G786" s="3" t="s">
        <v>42</v>
      </c>
      <c r="H786" s="3" t="s">
        <v>40</v>
      </c>
      <c r="I786" s="5">
        <v>1278120</v>
      </c>
      <c r="J786" s="3">
        <v>191718</v>
      </c>
      <c r="K786" s="3">
        <v>1086402</v>
      </c>
      <c r="L786" s="3">
        <v>766872</v>
      </c>
      <c r="M786" s="3">
        <v>319530</v>
      </c>
      <c r="N786" s="3">
        <v>408126.69166666677</v>
      </c>
      <c r="O786" s="3">
        <f t="shared" si="13"/>
        <v>37.566820722593178</v>
      </c>
      <c r="P786" s="3">
        <v>0</v>
      </c>
      <c r="Q786" s="3">
        <v>1175.625</v>
      </c>
      <c r="R786" s="3">
        <v>263787</v>
      </c>
      <c r="S786" s="3">
        <v>87528.82666666669</v>
      </c>
      <c r="T786" s="3">
        <v>14000</v>
      </c>
      <c r="U786" s="3">
        <v>31952.999999999996</v>
      </c>
      <c r="V786" s="3">
        <v>9682.24</v>
      </c>
      <c r="W786" s="3">
        <v>0</v>
      </c>
      <c r="X786" s="3">
        <v>-88596.691666666724</v>
      </c>
      <c r="Y786" s="3">
        <v>0</v>
      </c>
      <c r="Z786" s="3">
        <v>57768.964768743725</v>
      </c>
      <c r="AA786" s="3">
        <v>-57768.964768743725</v>
      </c>
      <c r="AB786" s="3">
        <v>0</v>
      </c>
      <c r="AC786" s="3">
        <v>0</v>
      </c>
      <c r="AD786" s="3">
        <v>0</v>
      </c>
      <c r="AE786" s="3">
        <v>-146365.65643541046</v>
      </c>
      <c r="AF786" s="3">
        <v>0</v>
      </c>
      <c r="AG786" s="3">
        <v>-146365.65643541046</v>
      </c>
      <c r="AH786" s="3">
        <v>-146365.65643541046</v>
      </c>
      <c r="AI786" s="3">
        <v>900000</v>
      </c>
      <c r="AJ786" s="3">
        <v>0</v>
      </c>
    </row>
    <row r="787" spans="1:36" x14ac:dyDescent="0.2">
      <c r="A787" s="3" t="s">
        <v>68</v>
      </c>
      <c r="B787" s="3" t="s">
        <v>69</v>
      </c>
      <c r="C787" s="3" t="s">
        <v>73</v>
      </c>
      <c r="D787" s="3">
        <v>1</v>
      </c>
      <c r="E787" s="3">
        <v>2023</v>
      </c>
      <c r="F787" s="3">
        <v>1</v>
      </c>
      <c r="G787" s="3" t="s">
        <v>48</v>
      </c>
      <c r="H787" s="3" t="s">
        <v>46</v>
      </c>
      <c r="I787" s="5">
        <v>10161945</v>
      </c>
      <c r="J787" s="3">
        <v>1601508.5999999999</v>
      </c>
      <c r="K787" s="3">
        <v>8560436.4000000004</v>
      </c>
      <c r="L787" s="3">
        <v>6548896.1100000003</v>
      </c>
      <c r="M787" s="3">
        <v>2011540.29</v>
      </c>
      <c r="N787" s="3">
        <v>201154.02900000001</v>
      </c>
      <c r="O787" s="3">
        <f t="shared" si="13"/>
        <v>2.3498104489158989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201154.02900000001</v>
      </c>
      <c r="V787" s="3">
        <v>0</v>
      </c>
      <c r="W787" s="3">
        <v>0</v>
      </c>
      <c r="X787" s="3">
        <v>1810386.2610000002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1810386.2610000002</v>
      </c>
      <c r="AF787" s="3">
        <v>0</v>
      </c>
      <c r="AG787" s="3">
        <v>1810386.2610000002</v>
      </c>
      <c r="AH787" s="3">
        <v>1810386.2610000002</v>
      </c>
      <c r="AI787" s="3">
        <v>0</v>
      </c>
      <c r="AJ787" s="3">
        <v>0</v>
      </c>
    </row>
    <row r="788" spans="1:36" x14ac:dyDescent="0.2">
      <c r="A788" s="3" t="s">
        <v>68</v>
      </c>
      <c r="B788" s="3" t="s">
        <v>69</v>
      </c>
      <c r="C788" s="3" t="s">
        <v>73</v>
      </c>
      <c r="D788" s="3">
        <v>3</v>
      </c>
      <c r="E788" s="3">
        <v>2023</v>
      </c>
      <c r="F788" s="3">
        <v>1</v>
      </c>
      <c r="G788" s="3" t="s">
        <v>39</v>
      </c>
      <c r="H788" s="3" t="s">
        <v>40</v>
      </c>
      <c r="I788" s="5">
        <v>1833942866.9759998</v>
      </c>
      <c r="J788" s="3">
        <v>0</v>
      </c>
      <c r="K788" s="3">
        <v>1833942866.9759998</v>
      </c>
      <c r="L788" s="3">
        <v>1826547888.3360007</v>
      </c>
      <c r="M788" s="3">
        <v>7394978.6399992686</v>
      </c>
      <c r="N788" s="3">
        <v>3058176.2895503649</v>
      </c>
      <c r="O788" s="3">
        <f t="shared" si="13"/>
        <v>0.16675417455032346</v>
      </c>
      <c r="P788" s="3">
        <v>100800</v>
      </c>
      <c r="Q788" s="3">
        <v>166966.75411014492</v>
      </c>
      <c r="R788" s="3">
        <v>972356.92637362645</v>
      </c>
      <c r="S788" s="3">
        <v>690329.83466666669</v>
      </c>
      <c r="T788" s="3">
        <v>197719.008</v>
      </c>
      <c r="U788" s="3">
        <v>739497.86399992695</v>
      </c>
      <c r="V788" s="3">
        <v>190505.90240000002</v>
      </c>
      <c r="W788" s="3">
        <v>0</v>
      </c>
      <c r="X788" s="3">
        <v>4336802.3504489018</v>
      </c>
      <c r="Y788" s="3">
        <v>328712.98491161386</v>
      </c>
      <c r="Z788" s="3">
        <v>486565.49188226432</v>
      </c>
      <c r="AA788" s="3">
        <v>-157852.5069706504</v>
      </c>
      <c r="AB788" s="3">
        <v>213280</v>
      </c>
      <c r="AC788" s="3">
        <v>160800</v>
      </c>
      <c r="AD788" s="3">
        <v>52480</v>
      </c>
      <c r="AE788" s="3">
        <v>4231429.8434782522</v>
      </c>
      <c r="AF788" s="3">
        <v>0</v>
      </c>
      <c r="AG788" s="3">
        <v>4231429.8434782522</v>
      </c>
      <c r="AH788" s="3">
        <v>4231429.8434782522</v>
      </c>
      <c r="AI788" s="3">
        <v>1833942866.9759998</v>
      </c>
      <c r="AJ788" s="3">
        <v>2608000</v>
      </c>
    </row>
    <row r="789" spans="1:36" x14ac:dyDescent="0.2">
      <c r="A789" s="3" t="s">
        <v>68</v>
      </c>
      <c r="B789" s="3" t="s">
        <v>69</v>
      </c>
      <c r="C789" s="3" t="s">
        <v>73</v>
      </c>
      <c r="D789" s="3">
        <v>2</v>
      </c>
      <c r="E789" s="3">
        <v>2023</v>
      </c>
      <c r="F789" s="3">
        <v>1</v>
      </c>
      <c r="G789" s="3" t="s">
        <v>39</v>
      </c>
      <c r="H789" s="3" t="s">
        <v>40</v>
      </c>
      <c r="I789" s="5">
        <v>3964799716.1280007</v>
      </c>
      <c r="J789" s="3">
        <v>0</v>
      </c>
      <c r="K789" s="3">
        <v>3964799716.1280007</v>
      </c>
      <c r="L789" s="3">
        <v>3952864434.8640003</v>
      </c>
      <c r="M789" s="3">
        <v>11935281.264000002</v>
      </c>
      <c r="N789" s="3">
        <v>4190994.6008582404</v>
      </c>
      <c r="O789" s="3">
        <f t="shared" si="13"/>
        <v>0.10570507720251605</v>
      </c>
      <c r="P789" s="3">
        <v>100800</v>
      </c>
      <c r="Q789" s="3">
        <v>208750.81811014493</v>
      </c>
      <c r="R789" s="3">
        <v>972697.25832142856</v>
      </c>
      <c r="S789" s="3">
        <v>1127380.5700266666</v>
      </c>
      <c r="T789" s="3">
        <v>280186.68799999997</v>
      </c>
      <c r="U789" s="3">
        <v>1193528.1264000002</v>
      </c>
      <c r="V789" s="3">
        <v>307651.14</v>
      </c>
      <c r="W789" s="3">
        <v>0</v>
      </c>
      <c r="X789" s="3">
        <v>7744286.663141761</v>
      </c>
      <c r="Y789" s="3">
        <v>367496.00657722855</v>
      </c>
      <c r="Z789" s="3">
        <v>561754.04955892637</v>
      </c>
      <c r="AA789" s="3">
        <v>-194258.04298169789</v>
      </c>
      <c r="AB789" s="3">
        <v>222240</v>
      </c>
      <c r="AC789" s="3">
        <v>335800</v>
      </c>
      <c r="AD789" s="3">
        <v>-113560</v>
      </c>
      <c r="AE789" s="3">
        <v>7436468.6201600628</v>
      </c>
      <c r="AF789" s="3">
        <v>0</v>
      </c>
      <c r="AG789" s="3">
        <v>7436468.6201600628</v>
      </c>
      <c r="AH789" s="3">
        <v>7436468.6201600628</v>
      </c>
      <c r="AI789" s="3">
        <v>3964799716.1280007</v>
      </c>
      <c r="AJ789" s="3">
        <v>3360000</v>
      </c>
    </row>
    <row r="790" spans="1:36" x14ac:dyDescent="0.2">
      <c r="A790" s="3" t="s">
        <v>68</v>
      </c>
      <c r="B790" s="3" t="s">
        <v>69</v>
      </c>
      <c r="C790" s="3" t="s">
        <v>73</v>
      </c>
      <c r="D790" s="3">
        <v>1</v>
      </c>
      <c r="E790" s="3">
        <v>2023</v>
      </c>
      <c r="F790" s="3">
        <v>1</v>
      </c>
      <c r="G790" s="3" t="s">
        <v>39</v>
      </c>
      <c r="H790" s="3" t="s">
        <v>40</v>
      </c>
      <c r="I790" s="5">
        <v>4139495183.6500006</v>
      </c>
      <c r="J790" s="3">
        <v>0</v>
      </c>
      <c r="K790" s="3">
        <v>4139495183.6500006</v>
      </c>
      <c r="L790" s="3">
        <v>4131898520.3250003</v>
      </c>
      <c r="M790" s="3">
        <v>7596663.3250007629</v>
      </c>
      <c r="N790" s="3">
        <v>4144477.2088656304</v>
      </c>
      <c r="O790" s="3">
        <f t="shared" si="13"/>
        <v>0.10012035344878061</v>
      </c>
      <c r="P790" s="3">
        <v>157500</v>
      </c>
      <c r="Q790" s="3">
        <v>435973.15329710138</v>
      </c>
      <c r="R790" s="3">
        <v>1427391.7904017861</v>
      </c>
      <c r="S790" s="3">
        <v>460430.73141666665</v>
      </c>
      <c r="T790" s="3">
        <v>453134.92499999999</v>
      </c>
      <c r="U790" s="3">
        <v>759666.33250007627</v>
      </c>
      <c r="V790" s="3">
        <v>450380.27625</v>
      </c>
      <c r="W790" s="3">
        <v>0</v>
      </c>
      <c r="X790" s="3">
        <v>3452186.116135132</v>
      </c>
      <c r="Y790" s="3">
        <v>551649.70243935764</v>
      </c>
      <c r="Z790" s="3">
        <v>764828.00102469861</v>
      </c>
      <c r="AA790" s="3">
        <v>-213178.29858534093</v>
      </c>
      <c r="AB790" s="3">
        <v>375750</v>
      </c>
      <c r="AC790" s="3">
        <v>749537.5</v>
      </c>
      <c r="AD790" s="3">
        <v>-373787.5</v>
      </c>
      <c r="AE790" s="3">
        <v>2865220.3175497912</v>
      </c>
      <c r="AF790" s="3">
        <v>0</v>
      </c>
      <c r="AG790" s="3">
        <v>2865220.3175497912</v>
      </c>
      <c r="AH790" s="3">
        <v>2865220.3175497912</v>
      </c>
      <c r="AI790" s="3">
        <v>8439495183.6499996</v>
      </c>
      <c r="AJ790" s="3">
        <v>2750000</v>
      </c>
    </row>
    <row r="791" spans="1:36" x14ac:dyDescent="0.2">
      <c r="A791" s="3" t="s">
        <v>68</v>
      </c>
      <c r="B791" s="3" t="s">
        <v>69</v>
      </c>
      <c r="C791" s="3" t="s">
        <v>74</v>
      </c>
      <c r="D791" s="3">
        <v>1</v>
      </c>
      <c r="E791" s="3">
        <v>2023</v>
      </c>
      <c r="F791" s="3">
        <v>1</v>
      </c>
      <c r="G791" s="3" t="s">
        <v>42</v>
      </c>
      <c r="H791" s="3" t="s">
        <v>40</v>
      </c>
      <c r="I791" s="5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 t="e">
        <f t="shared" si="13"/>
        <v>#DIV/0!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</row>
    <row r="792" spans="1:36" x14ac:dyDescent="0.2">
      <c r="A792" s="3" t="s">
        <v>68</v>
      </c>
      <c r="B792" s="3" t="s">
        <v>69</v>
      </c>
      <c r="C792" s="3" t="s">
        <v>74</v>
      </c>
      <c r="D792" s="3">
        <v>1</v>
      </c>
      <c r="E792" s="3">
        <v>2023</v>
      </c>
      <c r="F792" s="3">
        <v>1</v>
      </c>
      <c r="G792" s="3" t="s">
        <v>48</v>
      </c>
      <c r="H792" s="3" t="s">
        <v>46</v>
      </c>
      <c r="I792" s="5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 t="e">
        <f t="shared" si="13"/>
        <v>#DIV/0!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</row>
    <row r="793" spans="1:36" x14ac:dyDescent="0.2">
      <c r="A793" s="3" t="s">
        <v>68</v>
      </c>
      <c r="B793" s="3" t="s">
        <v>69</v>
      </c>
      <c r="C793" s="3" t="s">
        <v>74</v>
      </c>
      <c r="D793" s="3">
        <v>1</v>
      </c>
      <c r="E793" s="3">
        <v>2023</v>
      </c>
      <c r="F793" s="3">
        <v>1</v>
      </c>
      <c r="G793" s="3" t="s">
        <v>39</v>
      </c>
      <c r="H793" s="3" t="s">
        <v>40</v>
      </c>
      <c r="I793" s="5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 t="e">
        <f t="shared" si="13"/>
        <v>#DIV/0!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</row>
    <row r="794" spans="1:36" x14ac:dyDescent="0.2">
      <c r="A794" s="3" t="s">
        <v>68</v>
      </c>
      <c r="B794" s="3" t="s">
        <v>69</v>
      </c>
      <c r="C794" s="3" t="s">
        <v>74</v>
      </c>
      <c r="D794" s="3">
        <v>2</v>
      </c>
      <c r="E794" s="3">
        <v>2023</v>
      </c>
      <c r="F794" s="3">
        <v>1</v>
      </c>
      <c r="G794" s="3" t="s">
        <v>42</v>
      </c>
      <c r="H794" s="3" t="s">
        <v>40</v>
      </c>
      <c r="I794" s="5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 t="e">
        <f t="shared" si="13"/>
        <v>#DIV/0!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</row>
    <row r="795" spans="1:36" x14ac:dyDescent="0.2">
      <c r="A795" s="3" t="s">
        <v>68</v>
      </c>
      <c r="B795" s="3" t="s">
        <v>69</v>
      </c>
      <c r="C795" s="3" t="s">
        <v>74</v>
      </c>
      <c r="D795" s="3">
        <v>2</v>
      </c>
      <c r="E795" s="3">
        <v>2023</v>
      </c>
      <c r="F795" s="3">
        <v>1</v>
      </c>
      <c r="G795" s="3" t="s">
        <v>48</v>
      </c>
      <c r="H795" s="3" t="s">
        <v>46</v>
      </c>
      <c r="I795" s="5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 t="e">
        <f t="shared" si="13"/>
        <v>#DIV/0!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</row>
    <row r="796" spans="1:36" x14ac:dyDescent="0.2">
      <c r="A796" s="3" t="s">
        <v>68</v>
      </c>
      <c r="B796" s="3" t="s">
        <v>69</v>
      </c>
      <c r="C796" s="3" t="s">
        <v>74</v>
      </c>
      <c r="D796" s="3">
        <v>2</v>
      </c>
      <c r="E796" s="3">
        <v>2023</v>
      </c>
      <c r="F796" s="3">
        <v>1</v>
      </c>
      <c r="G796" s="3" t="s">
        <v>39</v>
      </c>
      <c r="H796" s="3" t="s">
        <v>40</v>
      </c>
      <c r="I796" s="5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 t="e">
        <f t="shared" si="13"/>
        <v>#DIV/0!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</row>
    <row r="797" spans="1:36" x14ac:dyDescent="0.2">
      <c r="A797" s="3" t="s">
        <v>68</v>
      </c>
      <c r="B797" s="3" t="s">
        <v>69</v>
      </c>
      <c r="C797" s="3" t="s">
        <v>74</v>
      </c>
      <c r="D797" s="3">
        <v>3</v>
      </c>
      <c r="E797" s="3">
        <v>2023</v>
      </c>
      <c r="F797" s="3">
        <v>1</v>
      </c>
      <c r="G797" s="3" t="s">
        <v>42</v>
      </c>
      <c r="H797" s="3" t="s">
        <v>40</v>
      </c>
      <c r="I797" s="5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 t="e">
        <f t="shared" si="13"/>
        <v>#DIV/0!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s="3">
        <v>0</v>
      </c>
    </row>
    <row r="798" spans="1:36" x14ac:dyDescent="0.2">
      <c r="A798" s="3" t="s">
        <v>68</v>
      </c>
      <c r="B798" s="3" t="s">
        <v>69</v>
      </c>
      <c r="C798" s="3" t="s">
        <v>74</v>
      </c>
      <c r="D798" s="3">
        <v>3</v>
      </c>
      <c r="E798" s="3">
        <v>2023</v>
      </c>
      <c r="F798" s="3">
        <v>1</v>
      </c>
      <c r="G798" s="3" t="s">
        <v>48</v>
      </c>
      <c r="H798" s="3" t="s">
        <v>46</v>
      </c>
      <c r="I798" s="5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 t="e">
        <f t="shared" si="13"/>
        <v>#DIV/0!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v>0</v>
      </c>
    </row>
    <row r="799" spans="1:36" x14ac:dyDescent="0.2">
      <c r="A799" s="3" t="s">
        <v>68</v>
      </c>
      <c r="B799" s="3" t="s">
        <v>69</v>
      </c>
      <c r="C799" s="3" t="s">
        <v>74</v>
      </c>
      <c r="D799" s="3">
        <v>3</v>
      </c>
      <c r="E799" s="3">
        <v>2023</v>
      </c>
      <c r="F799" s="3">
        <v>1</v>
      </c>
      <c r="G799" s="3" t="s">
        <v>39</v>
      </c>
      <c r="H799" s="3" t="s">
        <v>40</v>
      </c>
      <c r="I799" s="5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 t="e">
        <f t="shared" si="13"/>
        <v>#DIV/0!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s="3">
        <v>0</v>
      </c>
    </row>
    <row r="800" spans="1:36" x14ac:dyDescent="0.2">
      <c r="A800" s="3" t="s">
        <v>68</v>
      </c>
      <c r="B800" s="3" t="s">
        <v>69</v>
      </c>
      <c r="C800" s="3" t="s">
        <v>74</v>
      </c>
      <c r="D800" s="3">
        <v>3</v>
      </c>
      <c r="E800" s="3">
        <v>2023</v>
      </c>
      <c r="F800" s="3">
        <v>1</v>
      </c>
      <c r="G800" s="3" t="s">
        <v>42</v>
      </c>
      <c r="H800" s="3" t="s">
        <v>46</v>
      </c>
      <c r="I800" s="5">
        <v>11990</v>
      </c>
      <c r="J800" s="3">
        <v>0</v>
      </c>
      <c r="K800" s="3">
        <v>11990</v>
      </c>
      <c r="L800" s="3">
        <v>7194</v>
      </c>
      <c r="M800" s="3">
        <v>4796.0000000000009</v>
      </c>
      <c r="N800" s="3">
        <v>88507.815024155687</v>
      </c>
      <c r="O800" s="3">
        <f t="shared" si="13"/>
        <v>738.18027543082303</v>
      </c>
      <c r="P800" s="3">
        <v>7822.2223200000008</v>
      </c>
      <c r="Q800" s="3">
        <v>8848.9829065000013</v>
      </c>
      <c r="R800" s="3">
        <v>55218.30201098902</v>
      </c>
      <c r="S800" s="3">
        <v>7260.916666666667</v>
      </c>
      <c r="T800" s="3">
        <v>0</v>
      </c>
      <c r="U800" s="3">
        <v>479.60000000000008</v>
      </c>
      <c r="V800" s="3">
        <v>8877.7911199999999</v>
      </c>
      <c r="W800" s="3">
        <v>0</v>
      </c>
      <c r="X800" s="3">
        <v>-83711.815024155672</v>
      </c>
      <c r="Y800" s="3">
        <v>0</v>
      </c>
      <c r="Z800" s="3">
        <v>9845.2847189417516</v>
      </c>
      <c r="AA800" s="3">
        <v>-9845.2847189417516</v>
      </c>
      <c r="AB800" s="3">
        <v>0</v>
      </c>
      <c r="AC800" s="3">
        <v>0</v>
      </c>
      <c r="AD800" s="3">
        <v>0</v>
      </c>
      <c r="AE800" s="3">
        <v>-93557.099743097438</v>
      </c>
      <c r="AF800" s="3">
        <v>0</v>
      </c>
      <c r="AG800" s="3">
        <v>-93557.099743097438</v>
      </c>
      <c r="AH800" s="3">
        <v>-93557.099743097438</v>
      </c>
      <c r="AI800" s="3">
        <v>77000.000000000015</v>
      </c>
      <c r="AJ800" s="3">
        <v>0</v>
      </c>
    </row>
    <row r="801" spans="1:36" x14ac:dyDescent="0.2">
      <c r="A801" s="3" t="s">
        <v>68</v>
      </c>
      <c r="B801" s="3" t="s">
        <v>69</v>
      </c>
      <c r="C801" s="3" t="s">
        <v>74</v>
      </c>
      <c r="D801" s="3">
        <v>1</v>
      </c>
      <c r="E801" s="3">
        <v>2023</v>
      </c>
      <c r="F801" s="3">
        <v>1</v>
      </c>
      <c r="G801" s="3" t="s">
        <v>42</v>
      </c>
      <c r="H801" s="3" t="s">
        <v>46</v>
      </c>
      <c r="I801" s="5">
        <v>67327</v>
      </c>
      <c r="J801" s="3">
        <v>0</v>
      </c>
      <c r="K801" s="3">
        <v>67327</v>
      </c>
      <c r="L801" s="3">
        <v>40396.199999999997</v>
      </c>
      <c r="M801" s="3">
        <v>26930.799999999999</v>
      </c>
      <c r="N801" s="3">
        <v>117654.39684211904</v>
      </c>
      <c r="O801" s="3">
        <f t="shared" si="13"/>
        <v>174.75068968187955</v>
      </c>
      <c r="P801" s="3">
        <v>9244.4445599999999</v>
      </c>
      <c r="Q801" s="3">
        <v>10457.8888895</v>
      </c>
      <c r="R801" s="3">
        <v>71273.466339285704</v>
      </c>
      <c r="S801" s="3">
        <v>11238.933333333334</v>
      </c>
      <c r="T801" s="3">
        <v>4982.12</v>
      </c>
      <c r="U801" s="3">
        <v>2693.08</v>
      </c>
      <c r="V801" s="3">
        <v>7764.4637199999997</v>
      </c>
      <c r="W801" s="3">
        <v>0</v>
      </c>
      <c r="X801" s="3">
        <v>-90723.596842119034</v>
      </c>
      <c r="Y801" s="3">
        <v>0</v>
      </c>
      <c r="Z801" s="3">
        <v>15549.433474079491</v>
      </c>
      <c r="AA801" s="3">
        <v>-15549.433474079491</v>
      </c>
      <c r="AB801" s="3">
        <v>0</v>
      </c>
      <c r="AC801" s="3">
        <v>0</v>
      </c>
      <c r="AD801" s="3">
        <v>0</v>
      </c>
      <c r="AE801" s="3">
        <v>-106273.03031619854</v>
      </c>
      <c r="AF801" s="3">
        <v>0</v>
      </c>
      <c r="AG801" s="3">
        <v>-106273.03031619854</v>
      </c>
      <c r="AH801" s="3">
        <v>-106273.03031619854</v>
      </c>
      <c r="AI801" s="3">
        <v>39000</v>
      </c>
      <c r="AJ801" s="3">
        <v>0</v>
      </c>
    </row>
    <row r="802" spans="1:36" x14ac:dyDescent="0.2">
      <c r="A802" s="3" t="s">
        <v>68</v>
      </c>
      <c r="B802" s="3" t="s">
        <v>69</v>
      </c>
      <c r="C802" s="3" t="s">
        <v>74</v>
      </c>
      <c r="D802" s="3">
        <v>2</v>
      </c>
      <c r="E802" s="3">
        <v>2023</v>
      </c>
      <c r="F802" s="3">
        <v>1</v>
      </c>
      <c r="G802" s="3" t="s">
        <v>42</v>
      </c>
      <c r="H802" s="3" t="s">
        <v>46</v>
      </c>
      <c r="I802" s="5">
        <v>400450</v>
      </c>
      <c r="J802" s="3">
        <v>0</v>
      </c>
      <c r="K802" s="3">
        <v>400450</v>
      </c>
      <c r="L802" s="3">
        <v>240270</v>
      </c>
      <c r="M802" s="3">
        <v>160180</v>
      </c>
      <c r="N802" s="3">
        <v>278890.04366719327</v>
      </c>
      <c r="O802" s="3">
        <f t="shared" si="13"/>
        <v>69.64416123540849</v>
      </c>
      <c r="P802" s="3">
        <v>17777.778000000002</v>
      </c>
      <c r="Q802" s="3">
        <v>20111.324787500002</v>
      </c>
      <c r="R802" s="3">
        <v>124560.20754635989</v>
      </c>
      <c r="S802" s="3">
        <v>35162.083333333343</v>
      </c>
      <c r="T802" s="3">
        <v>38750</v>
      </c>
      <c r="U802" s="3">
        <v>16018</v>
      </c>
      <c r="V802" s="3">
        <v>26510.65</v>
      </c>
      <c r="W802" s="3">
        <v>0</v>
      </c>
      <c r="X802" s="3">
        <v>-118710.04366719327</v>
      </c>
      <c r="Y802" s="3">
        <v>0</v>
      </c>
      <c r="Z802" s="3">
        <v>28344.705484236969</v>
      </c>
      <c r="AA802" s="3">
        <v>-28344.705484236969</v>
      </c>
      <c r="AB802" s="3">
        <v>0</v>
      </c>
      <c r="AC802" s="3">
        <v>0</v>
      </c>
      <c r="AD802" s="3">
        <v>0</v>
      </c>
      <c r="AE802" s="3">
        <v>-147054.74915143024</v>
      </c>
      <c r="AF802" s="3">
        <v>0</v>
      </c>
      <c r="AG802" s="3">
        <v>-147054.74915143024</v>
      </c>
      <c r="AH802" s="3">
        <v>-147054.74915143024</v>
      </c>
      <c r="AI802" s="3">
        <v>250000</v>
      </c>
      <c r="AJ802" s="3">
        <v>0</v>
      </c>
    </row>
    <row r="803" spans="1:36" x14ac:dyDescent="0.2">
      <c r="A803" s="3" t="s">
        <v>68</v>
      </c>
      <c r="B803" s="3" t="s">
        <v>69</v>
      </c>
      <c r="C803" s="3" t="s">
        <v>74</v>
      </c>
      <c r="D803" s="3">
        <v>2</v>
      </c>
      <c r="E803" s="3">
        <v>2023</v>
      </c>
      <c r="F803" s="3">
        <v>1</v>
      </c>
      <c r="G803" s="3" t="s">
        <v>48</v>
      </c>
      <c r="H803" s="3" t="s">
        <v>46</v>
      </c>
      <c r="I803" s="5">
        <v>1392340</v>
      </c>
      <c r="J803" s="3">
        <v>61812.600000000006</v>
      </c>
      <c r="K803" s="3">
        <v>1330527.3999999999</v>
      </c>
      <c r="L803" s="3">
        <v>903030.88</v>
      </c>
      <c r="M803" s="3">
        <v>427496.52</v>
      </c>
      <c r="N803" s="3">
        <v>957064.47494656604</v>
      </c>
      <c r="O803" s="3">
        <f t="shared" si="13"/>
        <v>71.931211258525465</v>
      </c>
      <c r="P803" s="3">
        <v>120888.89040000002</v>
      </c>
      <c r="Q803" s="3">
        <v>130986.88840000001</v>
      </c>
      <c r="R803" s="3">
        <v>332265.74124656589</v>
      </c>
      <c r="S803" s="3">
        <v>44507.618100000007</v>
      </c>
      <c r="T803" s="3">
        <v>88628.037199999977</v>
      </c>
      <c r="U803" s="3">
        <v>42749.652000000002</v>
      </c>
      <c r="V803" s="3">
        <v>197037.64760000003</v>
      </c>
      <c r="W803" s="3">
        <v>0</v>
      </c>
      <c r="X803" s="3">
        <v>-529567.95494656614</v>
      </c>
      <c r="Y803" s="3">
        <v>91.288199999999989</v>
      </c>
      <c r="Z803" s="3">
        <v>62946.057069939408</v>
      </c>
      <c r="AA803" s="3">
        <v>-62854.768869939398</v>
      </c>
      <c r="AB803" s="3">
        <v>0</v>
      </c>
      <c r="AC803" s="3">
        <v>0</v>
      </c>
      <c r="AD803" s="3">
        <v>0</v>
      </c>
      <c r="AE803" s="3">
        <v>-592422.7238165054</v>
      </c>
      <c r="AF803" s="3">
        <v>0</v>
      </c>
      <c r="AG803" s="3">
        <v>-592422.7238165054</v>
      </c>
      <c r="AH803" s="3">
        <v>-592422.7238165054</v>
      </c>
      <c r="AI803" s="3">
        <v>2700000</v>
      </c>
      <c r="AJ803" s="3">
        <v>-209032.25806451609</v>
      </c>
    </row>
    <row r="804" spans="1:36" x14ac:dyDescent="0.2">
      <c r="A804" s="3" t="s">
        <v>68</v>
      </c>
      <c r="B804" s="3" t="s">
        <v>69</v>
      </c>
      <c r="C804" s="3" t="s">
        <v>74</v>
      </c>
      <c r="D804" s="3">
        <v>3</v>
      </c>
      <c r="E804" s="3">
        <v>2023</v>
      </c>
      <c r="F804" s="3">
        <v>1</v>
      </c>
      <c r="G804" s="3" t="s">
        <v>48</v>
      </c>
      <c r="H804" s="3" t="s">
        <v>46</v>
      </c>
      <c r="I804" s="5">
        <v>1422876</v>
      </c>
      <c r="J804" s="3">
        <v>78562.2</v>
      </c>
      <c r="K804" s="3">
        <v>1344313.8</v>
      </c>
      <c r="L804" s="3">
        <v>839489.90399999998</v>
      </c>
      <c r="M804" s="3">
        <v>504823.89600000001</v>
      </c>
      <c r="N804" s="3">
        <v>1091567.9671971428</v>
      </c>
      <c r="O804" s="3">
        <f t="shared" si="13"/>
        <v>81.198896209883642</v>
      </c>
      <c r="P804" s="3">
        <v>145066.66847999999</v>
      </c>
      <c r="Q804" s="3">
        <v>157184.26608</v>
      </c>
      <c r="R804" s="3">
        <v>387380.7008571428</v>
      </c>
      <c r="S804" s="3">
        <v>50146.451699999998</v>
      </c>
      <c r="T804" s="3">
        <v>126062.88983999999</v>
      </c>
      <c r="U804" s="3">
        <v>50482.389599999995</v>
      </c>
      <c r="V804" s="3">
        <v>175244.60063999999</v>
      </c>
      <c r="W804" s="3">
        <v>0</v>
      </c>
      <c r="X804" s="3">
        <v>-586744.07119714294</v>
      </c>
      <c r="Y804" s="3">
        <v>46.280879999999996</v>
      </c>
      <c r="Z804" s="3">
        <v>51412.779194178234</v>
      </c>
      <c r="AA804" s="3">
        <v>-51366.498314178243</v>
      </c>
      <c r="AB804" s="3">
        <v>0</v>
      </c>
      <c r="AC804" s="3">
        <v>0</v>
      </c>
      <c r="AD804" s="3">
        <v>0</v>
      </c>
      <c r="AE804" s="3">
        <v>-638110.56951132114</v>
      </c>
      <c r="AF804" s="3">
        <v>0</v>
      </c>
      <c r="AG804" s="3">
        <v>-638110.56951132114</v>
      </c>
      <c r="AH804" s="3">
        <v>-638110.56951132114</v>
      </c>
      <c r="AI804" s="3">
        <v>2160000</v>
      </c>
      <c r="AJ804" s="3">
        <v>-250838.70967741933</v>
      </c>
    </row>
    <row r="805" spans="1:36" x14ac:dyDescent="0.2">
      <c r="A805" s="3" t="s">
        <v>68</v>
      </c>
      <c r="B805" s="3" t="s">
        <v>69</v>
      </c>
      <c r="C805" s="3" t="s">
        <v>74</v>
      </c>
      <c r="D805" s="3">
        <v>1</v>
      </c>
      <c r="E805" s="3">
        <v>2023</v>
      </c>
      <c r="F805" s="3">
        <v>1</v>
      </c>
      <c r="G805" s="3" t="s">
        <v>48</v>
      </c>
      <c r="H805" s="3" t="s">
        <v>46</v>
      </c>
      <c r="I805" s="5">
        <v>3006969</v>
      </c>
      <c r="J805" s="3">
        <v>167017.20000000001</v>
      </c>
      <c r="K805" s="3">
        <v>2839951.8</v>
      </c>
      <c r="L805" s="3">
        <v>2157789.5639999998</v>
      </c>
      <c r="M805" s="3">
        <v>682162.23600000015</v>
      </c>
      <c r="N805" s="3">
        <v>1800039.6129634613</v>
      </c>
      <c r="O805" s="3">
        <f t="shared" si="13"/>
        <v>63.382752234156278</v>
      </c>
      <c r="P805" s="3">
        <v>253866.66984000005</v>
      </c>
      <c r="Q805" s="3">
        <v>272903.94264000002</v>
      </c>
      <c r="R805" s="3">
        <v>735402.96366346162</v>
      </c>
      <c r="S805" s="3">
        <v>92787.050999999992</v>
      </c>
      <c r="T805" s="3">
        <v>154933.57530000003</v>
      </c>
      <c r="U805" s="3">
        <v>68216.223599999998</v>
      </c>
      <c r="V805" s="3">
        <v>221929.18692000007</v>
      </c>
      <c r="W805" s="3">
        <v>0</v>
      </c>
      <c r="X805" s="3">
        <v>-1117877.3769634613</v>
      </c>
      <c r="Y805" s="3">
        <v>131.25672</v>
      </c>
      <c r="Z805" s="3">
        <v>126204.28890665306</v>
      </c>
      <c r="AA805" s="3">
        <v>-126073.03218665306</v>
      </c>
      <c r="AB805" s="3">
        <v>0</v>
      </c>
      <c r="AC805" s="3">
        <v>0</v>
      </c>
      <c r="AD805" s="3">
        <v>0</v>
      </c>
      <c r="AE805" s="3">
        <v>-1243950.4091501145</v>
      </c>
      <c r="AF805" s="3">
        <v>0</v>
      </c>
      <c r="AG805" s="3">
        <v>-1243950.4091501145</v>
      </c>
      <c r="AH805" s="3">
        <v>-1243950.4091501145</v>
      </c>
      <c r="AI805" s="3">
        <v>4830000</v>
      </c>
      <c r="AJ805" s="3">
        <v>-373935.48387096782</v>
      </c>
    </row>
    <row r="806" spans="1:36" x14ac:dyDescent="0.2">
      <c r="A806" s="3" t="s">
        <v>68</v>
      </c>
      <c r="B806" s="3" t="s">
        <v>69</v>
      </c>
      <c r="C806" s="3" t="s">
        <v>74</v>
      </c>
      <c r="D806" s="3">
        <v>1</v>
      </c>
      <c r="E806" s="3">
        <v>2023</v>
      </c>
      <c r="F806" s="3">
        <v>1</v>
      </c>
      <c r="G806" s="3" t="s">
        <v>39</v>
      </c>
      <c r="H806" s="3" t="s">
        <v>46</v>
      </c>
      <c r="I806" s="5">
        <v>72307907</v>
      </c>
      <c r="J806" s="3">
        <v>0</v>
      </c>
      <c r="K806" s="3">
        <v>72307907</v>
      </c>
      <c r="L806" s="3">
        <v>72081674</v>
      </c>
      <c r="M806" s="3">
        <v>226233</v>
      </c>
      <c r="N806" s="3">
        <v>184577.76129921345</v>
      </c>
      <c r="O806" s="3">
        <f t="shared" si="13"/>
        <v>0.25526635876656401</v>
      </c>
      <c r="P806" s="3">
        <v>9955.5556799999995</v>
      </c>
      <c r="Q806" s="3">
        <v>11262.341881</v>
      </c>
      <c r="R806" s="3">
        <v>72324.669739110293</v>
      </c>
      <c r="S806" s="3">
        <v>6215.2999999999993</v>
      </c>
      <c r="T806" s="3">
        <v>53834.863839103207</v>
      </c>
      <c r="U806" s="3">
        <v>22623.3</v>
      </c>
      <c r="V806" s="3">
        <v>8361.7301599999992</v>
      </c>
      <c r="W806" s="3">
        <v>0</v>
      </c>
      <c r="X806" s="3">
        <v>41655.238700786504</v>
      </c>
      <c r="Y806" s="3">
        <v>9574.6336139610194</v>
      </c>
      <c r="Z806" s="3">
        <v>13274.633984443592</v>
      </c>
      <c r="AA806" s="3">
        <v>-3700.0003704825717</v>
      </c>
      <c r="AB806" s="3">
        <v>2030</v>
      </c>
      <c r="AC806" s="3">
        <v>420</v>
      </c>
      <c r="AD806" s="3">
        <v>1610</v>
      </c>
      <c r="AE806" s="3">
        <v>39565.238330303924</v>
      </c>
      <c r="AF806" s="3">
        <v>0</v>
      </c>
      <c r="AG806" s="3">
        <v>39565.238330303924</v>
      </c>
      <c r="AH806" s="3">
        <v>39565.238330303924</v>
      </c>
      <c r="AI806" s="3">
        <v>142307907</v>
      </c>
      <c r="AJ806" s="3">
        <v>30800</v>
      </c>
    </row>
    <row r="807" spans="1:36" x14ac:dyDescent="0.2">
      <c r="A807" s="3" t="s">
        <v>68</v>
      </c>
      <c r="B807" s="3" t="s">
        <v>69</v>
      </c>
      <c r="C807" s="3" t="s">
        <v>74</v>
      </c>
      <c r="D807" s="3">
        <v>3</v>
      </c>
      <c r="E807" s="3">
        <v>2023</v>
      </c>
      <c r="F807" s="3">
        <v>1</v>
      </c>
      <c r="G807" s="3" t="s">
        <v>39</v>
      </c>
      <c r="H807" s="3" t="s">
        <v>46</v>
      </c>
      <c r="I807" s="5">
        <v>84165224</v>
      </c>
      <c r="J807" s="3">
        <v>0</v>
      </c>
      <c r="K807" s="3">
        <v>84165224</v>
      </c>
      <c r="L807" s="3">
        <v>83529082</v>
      </c>
      <c r="M807" s="3">
        <v>636142</v>
      </c>
      <c r="N807" s="3">
        <v>267821.99564094061</v>
      </c>
      <c r="O807" s="3">
        <f t="shared" si="13"/>
        <v>0.31820980556166595</v>
      </c>
      <c r="P807" s="3">
        <v>18488.88912</v>
      </c>
      <c r="Q807" s="3">
        <v>20915.777779</v>
      </c>
      <c r="R807" s="3">
        <v>119023.51433337106</v>
      </c>
      <c r="S807" s="3">
        <v>11542.7</v>
      </c>
      <c r="T807" s="3">
        <v>13253.044488569554</v>
      </c>
      <c r="U807" s="3">
        <v>63614.2</v>
      </c>
      <c r="V807" s="3">
        <v>20983.869920000001</v>
      </c>
      <c r="W807" s="3">
        <v>0</v>
      </c>
      <c r="X807" s="3">
        <v>368320.00435905939</v>
      </c>
      <c r="Y807" s="3">
        <v>15031.47246591435</v>
      </c>
      <c r="Z807" s="3">
        <v>19595.929441654476</v>
      </c>
      <c r="AA807" s="3">
        <v>-4564.4569757401277</v>
      </c>
      <c r="AB807" s="3">
        <v>8840</v>
      </c>
      <c r="AC807" s="3">
        <v>7800</v>
      </c>
      <c r="AD807" s="3">
        <v>1040</v>
      </c>
      <c r="AE807" s="3">
        <v>364795.5473833193</v>
      </c>
      <c r="AF807" s="3">
        <v>0</v>
      </c>
      <c r="AG807" s="3">
        <v>364795.5473833193</v>
      </c>
      <c r="AH807" s="3">
        <v>364795.5473833193</v>
      </c>
      <c r="AI807" s="3">
        <v>84165224</v>
      </c>
      <c r="AJ807" s="3">
        <v>39000</v>
      </c>
    </row>
    <row r="808" spans="1:36" x14ac:dyDescent="0.2">
      <c r="A808" s="3" t="s">
        <v>68</v>
      </c>
      <c r="B808" s="3" t="s">
        <v>69</v>
      </c>
      <c r="C808" s="3" t="s">
        <v>74</v>
      </c>
      <c r="D808" s="3">
        <v>2</v>
      </c>
      <c r="E808" s="3">
        <v>2023</v>
      </c>
      <c r="F808" s="3">
        <v>1</v>
      </c>
      <c r="G808" s="3" t="s">
        <v>39</v>
      </c>
      <c r="H808" s="3" t="s">
        <v>46</v>
      </c>
      <c r="I808" s="5">
        <v>139648805.09747201</v>
      </c>
      <c r="J808" s="3">
        <v>0</v>
      </c>
      <c r="K808" s="3">
        <v>139648805.09747201</v>
      </c>
      <c r="L808" s="3">
        <v>138984087</v>
      </c>
      <c r="M808" s="3">
        <v>664718.09747199644</v>
      </c>
      <c r="N808" s="3">
        <v>243395.6109444295</v>
      </c>
      <c r="O808" s="3">
        <f t="shared" si="13"/>
        <v>0.17429122345482609</v>
      </c>
      <c r="P808" s="3">
        <v>15644.444640000002</v>
      </c>
      <c r="Q808" s="3">
        <v>17697.965813000003</v>
      </c>
      <c r="R808" s="3">
        <v>100195.11487546763</v>
      </c>
      <c r="S808" s="3">
        <v>9766.9000000000015</v>
      </c>
      <c r="T808" s="3">
        <v>8090.0038687622045</v>
      </c>
      <c r="U808" s="3">
        <v>66471.809747199644</v>
      </c>
      <c r="V808" s="3">
        <v>25529.372000000003</v>
      </c>
      <c r="W808" s="3">
        <v>0</v>
      </c>
      <c r="X808" s="3">
        <v>421322.48652756691</v>
      </c>
      <c r="Y808" s="3">
        <v>13038.67340142409</v>
      </c>
      <c r="Z808" s="3">
        <v>19930.903882045339</v>
      </c>
      <c r="AA808" s="3">
        <v>-6892.2304806212505</v>
      </c>
      <c r="AB808" s="3">
        <v>2310.0000000000005</v>
      </c>
      <c r="AC808" s="3">
        <v>1320</v>
      </c>
      <c r="AD808" s="3">
        <v>990.00000000000011</v>
      </c>
      <c r="AE808" s="3">
        <v>415420.25604694564</v>
      </c>
      <c r="AF808" s="3">
        <v>0</v>
      </c>
      <c r="AG808" s="3">
        <v>415420.25604694564</v>
      </c>
      <c r="AH808" s="3">
        <v>415420.25604694564</v>
      </c>
      <c r="AI808" s="3">
        <v>139648805.09747201</v>
      </c>
      <c r="AJ808" s="3">
        <v>44000</v>
      </c>
    </row>
    <row r="809" spans="1:36" x14ac:dyDescent="0.2">
      <c r="A809" s="3" t="s">
        <v>68</v>
      </c>
      <c r="B809" s="3" t="s">
        <v>69</v>
      </c>
      <c r="C809" s="3" t="s">
        <v>116</v>
      </c>
      <c r="D809" s="3">
        <v>1</v>
      </c>
      <c r="E809" s="3">
        <v>2023</v>
      </c>
      <c r="F809" s="3">
        <v>1</v>
      </c>
      <c r="G809" s="3" t="s">
        <v>48</v>
      </c>
      <c r="H809" s="3" t="s">
        <v>40</v>
      </c>
      <c r="I809" s="5">
        <v>0</v>
      </c>
      <c r="J809" s="3">
        <v>0</v>
      </c>
      <c r="K809" s="3">
        <v>0</v>
      </c>
      <c r="L809" s="3">
        <v>0</v>
      </c>
      <c r="M809" s="3">
        <v>0</v>
      </c>
      <c r="N809" s="3">
        <v>64603</v>
      </c>
      <c r="O809" s="3" t="e">
        <f t="shared" si="13"/>
        <v>#DIV/0!</v>
      </c>
      <c r="P809" s="3">
        <v>0</v>
      </c>
      <c r="Q809" s="3">
        <v>0</v>
      </c>
      <c r="R809" s="3">
        <v>0</v>
      </c>
      <c r="S809" s="3">
        <v>0</v>
      </c>
      <c r="T809" s="3">
        <v>64603</v>
      </c>
      <c r="U809" s="3">
        <v>0</v>
      </c>
      <c r="V809" s="3">
        <v>0</v>
      </c>
      <c r="W809" s="3">
        <v>0</v>
      </c>
      <c r="X809" s="3">
        <v>-64603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-64603</v>
      </c>
      <c r="AF809" s="3">
        <v>0</v>
      </c>
      <c r="AG809" s="3">
        <v>-64603</v>
      </c>
      <c r="AH809" s="3">
        <v>-64603</v>
      </c>
      <c r="AI809" s="3">
        <v>0</v>
      </c>
      <c r="AJ809" s="3">
        <v>0</v>
      </c>
    </row>
    <row r="810" spans="1:36" x14ac:dyDescent="0.2">
      <c r="A810" s="3" t="s">
        <v>68</v>
      </c>
      <c r="B810" s="3" t="s">
        <v>69</v>
      </c>
      <c r="C810" s="3" t="s">
        <v>116</v>
      </c>
      <c r="D810" s="3">
        <v>2</v>
      </c>
      <c r="E810" s="3">
        <v>2023</v>
      </c>
      <c r="F810" s="3">
        <v>1</v>
      </c>
      <c r="G810" s="3" t="s">
        <v>48</v>
      </c>
      <c r="H810" s="3" t="s">
        <v>40</v>
      </c>
      <c r="I810" s="5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 t="e">
        <f t="shared" si="13"/>
        <v>#DIV/0!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</row>
    <row r="811" spans="1:36" x14ac:dyDescent="0.2">
      <c r="A811" s="3" t="s">
        <v>68</v>
      </c>
      <c r="B811" s="3" t="s">
        <v>69</v>
      </c>
      <c r="C811" s="3" t="s">
        <v>116</v>
      </c>
      <c r="D811" s="3">
        <v>3</v>
      </c>
      <c r="E811" s="3">
        <v>2023</v>
      </c>
      <c r="F811" s="3">
        <v>1</v>
      </c>
      <c r="G811" s="3" t="s">
        <v>48</v>
      </c>
      <c r="H811" s="3" t="s">
        <v>40</v>
      </c>
      <c r="I811" s="5">
        <v>100320</v>
      </c>
      <c r="J811" s="3">
        <v>25080</v>
      </c>
      <c r="K811" s="3">
        <v>75240</v>
      </c>
      <c r="L811" s="3">
        <v>59012.58</v>
      </c>
      <c r="M811" s="3">
        <v>16227.42</v>
      </c>
      <c r="N811" s="3">
        <v>1622.7420000000002</v>
      </c>
      <c r="O811" s="3">
        <f t="shared" si="13"/>
        <v>2.1567543859649123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1622.7420000000002</v>
      </c>
      <c r="V811" s="3">
        <v>0</v>
      </c>
      <c r="W811" s="3">
        <v>0</v>
      </c>
      <c r="X811" s="3">
        <v>14604.678000000002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14604.678000000002</v>
      </c>
      <c r="AF811" s="3">
        <v>0</v>
      </c>
      <c r="AG811" s="3">
        <v>14604.678000000002</v>
      </c>
      <c r="AH811" s="3">
        <v>14604.678000000002</v>
      </c>
      <c r="AI811" s="3">
        <v>0</v>
      </c>
      <c r="AJ811" s="3">
        <v>0</v>
      </c>
    </row>
    <row r="812" spans="1:36" x14ac:dyDescent="0.2">
      <c r="A812" s="3" t="s">
        <v>68</v>
      </c>
      <c r="B812" s="3" t="s">
        <v>117</v>
      </c>
      <c r="C812" s="3" t="s">
        <v>118</v>
      </c>
      <c r="D812" s="3">
        <v>1</v>
      </c>
      <c r="E812" s="3">
        <v>2023</v>
      </c>
      <c r="F812" s="3">
        <v>1</v>
      </c>
      <c r="G812" s="3" t="s">
        <v>42</v>
      </c>
      <c r="H812" s="3" t="s">
        <v>40</v>
      </c>
      <c r="I812" s="5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 t="e">
        <f t="shared" si="13"/>
        <v>#DIV/0!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</row>
    <row r="813" spans="1:36" x14ac:dyDescent="0.2">
      <c r="A813" s="3" t="s">
        <v>68</v>
      </c>
      <c r="B813" s="3" t="s">
        <v>117</v>
      </c>
      <c r="C813" s="3" t="s">
        <v>118</v>
      </c>
      <c r="D813" s="3">
        <v>1</v>
      </c>
      <c r="E813" s="3">
        <v>2023</v>
      </c>
      <c r="F813" s="3">
        <v>1</v>
      </c>
      <c r="G813" s="3" t="s">
        <v>48</v>
      </c>
      <c r="H813" s="3" t="s">
        <v>40</v>
      </c>
      <c r="I813" s="5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 t="e">
        <f t="shared" si="13"/>
        <v>#DIV/0!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</row>
    <row r="814" spans="1:36" x14ac:dyDescent="0.2">
      <c r="A814" s="3" t="s">
        <v>68</v>
      </c>
      <c r="B814" s="3" t="s">
        <v>117</v>
      </c>
      <c r="C814" s="3" t="s">
        <v>118</v>
      </c>
      <c r="D814" s="3">
        <v>1</v>
      </c>
      <c r="E814" s="3">
        <v>2023</v>
      </c>
      <c r="F814" s="3">
        <v>1</v>
      </c>
      <c r="G814" s="3" t="s">
        <v>39</v>
      </c>
      <c r="H814" s="3" t="s">
        <v>40</v>
      </c>
      <c r="I814" s="5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 t="e">
        <f t="shared" si="13"/>
        <v>#DIV/0!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</row>
    <row r="815" spans="1:36" x14ac:dyDescent="0.2">
      <c r="A815" s="3" t="s">
        <v>68</v>
      </c>
      <c r="B815" s="3" t="s">
        <v>117</v>
      </c>
      <c r="C815" s="3" t="s">
        <v>118</v>
      </c>
      <c r="D815" s="3">
        <v>2</v>
      </c>
      <c r="E815" s="3">
        <v>2023</v>
      </c>
      <c r="F815" s="3">
        <v>1</v>
      </c>
      <c r="G815" s="3" t="s">
        <v>42</v>
      </c>
      <c r="H815" s="3" t="s">
        <v>40</v>
      </c>
      <c r="I815" s="5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 t="e">
        <f t="shared" si="13"/>
        <v>#DIV/0!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</row>
    <row r="816" spans="1:36" x14ac:dyDescent="0.2">
      <c r="A816" s="3" t="s">
        <v>68</v>
      </c>
      <c r="B816" s="3" t="s">
        <v>117</v>
      </c>
      <c r="C816" s="3" t="s">
        <v>118</v>
      </c>
      <c r="D816" s="3">
        <v>2</v>
      </c>
      <c r="E816" s="3">
        <v>2023</v>
      </c>
      <c r="F816" s="3">
        <v>1</v>
      </c>
      <c r="G816" s="3" t="s">
        <v>48</v>
      </c>
      <c r="H816" s="3" t="s">
        <v>40</v>
      </c>
      <c r="I816" s="5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 t="e">
        <f t="shared" si="13"/>
        <v>#DIV/0!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</row>
    <row r="817" spans="1:36" x14ac:dyDescent="0.2">
      <c r="A817" s="3" t="s">
        <v>68</v>
      </c>
      <c r="B817" s="3" t="s">
        <v>117</v>
      </c>
      <c r="C817" s="3" t="s">
        <v>118</v>
      </c>
      <c r="D817" s="3">
        <v>2</v>
      </c>
      <c r="E817" s="3">
        <v>2023</v>
      </c>
      <c r="F817" s="3">
        <v>1</v>
      </c>
      <c r="G817" s="3" t="s">
        <v>39</v>
      </c>
      <c r="H817" s="3" t="s">
        <v>40</v>
      </c>
      <c r="I817" s="5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 t="e">
        <f t="shared" si="13"/>
        <v>#DIV/0!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</row>
    <row r="818" spans="1:36" x14ac:dyDescent="0.2">
      <c r="A818" s="3" t="s">
        <v>68</v>
      </c>
      <c r="B818" s="3" t="s">
        <v>117</v>
      </c>
      <c r="C818" s="3" t="s">
        <v>118</v>
      </c>
      <c r="D818" s="3">
        <v>3</v>
      </c>
      <c r="E818" s="3">
        <v>2023</v>
      </c>
      <c r="F818" s="3">
        <v>1</v>
      </c>
      <c r="G818" s="3" t="s">
        <v>42</v>
      </c>
      <c r="H818" s="3" t="s">
        <v>40</v>
      </c>
      <c r="I818" s="5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 t="e">
        <f t="shared" si="13"/>
        <v>#DIV/0!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</row>
    <row r="819" spans="1:36" x14ac:dyDescent="0.2">
      <c r="A819" s="3" t="s">
        <v>68</v>
      </c>
      <c r="B819" s="3" t="s">
        <v>117</v>
      </c>
      <c r="C819" s="3" t="s">
        <v>118</v>
      </c>
      <c r="D819" s="3">
        <v>3</v>
      </c>
      <c r="E819" s="3">
        <v>2023</v>
      </c>
      <c r="F819" s="3">
        <v>1</v>
      </c>
      <c r="G819" s="3" t="s">
        <v>48</v>
      </c>
      <c r="H819" s="3" t="s">
        <v>40</v>
      </c>
      <c r="I819" s="5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 t="e">
        <f t="shared" si="13"/>
        <v>#DIV/0!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</row>
    <row r="820" spans="1:36" x14ac:dyDescent="0.2">
      <c r="A820" s="3" t="s">
        <v>68</v>
      </c>
      <c r="B820" s="3" t="s">
        <v>117</v>
      </c>
      <c r="C820" s="3" t="s">
        <v>118</v>
      </c>
      <c r="D820" s="3">
        <v>3</v>
      </c>
      <c r="E820" s="3">
        <v>2023</v>
      </c>
      <c r="F820" s="3">
        <v>1</v>
      </c>
      <c r="G820" s="3" t="s">
        <v>39</v>
      </c>
      <c r="H820" s="3" t="s">
        <v>40</v>
      </c>
      <c r="I820" s="5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 t="e">
        <f t="shared" si="13"/>
        <v>#DIV/0!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</row>
    <row r="821" spans="1:36" x14ac:dyDescent="0.2">
      <c r="A821" s="3" t="s">
        <v>68</v>
      </c>
      <c r="B821" s="3" t="s">
        <v>117</v>
      </c>
      <c r="C821" s="3" t="s">
        <v>118</v>
      </c>
      <c r="D821" s="3">
        <v>1</v>
      </c>
      <c r="E821" s="3">
        <v>2023</v>
      </c>
      <c r="F821" s="3">
        <v>1</v>
      </c>
      <c r="G821" s="3" t="s">
        <v>42</v>
      </c>
      <c r="H821" s="3" t="s">
        <v>46</v>
      </c>
      <c r="I821" s="5">
        <v>59640</v>
      </c>
      <c r="J821" s="3">
        <v>0</v>
      </c>
      <c r="K821" s="3">
        <v>59640</v>
      </c>
      <c r="L821" s="3">
        <v>35784</v>
      </c>
      <c r="M821" s="3">
        <v>23856</v>
      </c>
      <c r="N821" s="3">
        <v>45628.882529999988</v>
      </c>
      <c r="O821" s="3">
        <f t="shared" si="13"/>
        <v>76.50718063380279</v>
      </c>
      <c r="P821" s="3">
        <v>4625.2499999999991</v>
      </c>
      <c r="Q821" s="3">
        <v>11904.014640000001</v>
      </c>
      <c r="R821" s="3">
        <v>19510.853669999997</v>
      </c>
      <c r="S821" s="3">
        <v>3486</v>
      </c>
      <c r="T821" s="3">
        <v>0</v>
      </c>
      <c r="U821" s="3">
        <v>2385.6</v>
      </c>
      <c r="V821" s="3">
        <v>3717.1642199999997</v>
      </c>
      <c r="W821" s="3">
        <v>1239.7072799999999</v>
      </c>
      <c r="X821" s="3">
        <v>-23012.589809999994</v>
      </c>
      <c r="Y821" s="3">
        <v>1.9133100000000001</v>
      </c>
      <c r="Z821" s="3">
        <v>14001.007999999998</v>
      </c>
      <c r="AA821" s="3">
        <v>-13999.094689999998</v>
      </c>
      <c r="AB821" s="3">
        <v>0</v>
      </c>
      <c r="AC821" s="3">
        <v>0</v>
      </c>
      <c r="AD821" s="3">
        <v>0</v>
      </c>
      <c r="AE821" s="3">
        <v>-37011.684499999996</v>
      </c>
      <c r="AF821" s="3">
        <v>0</v>
      </c>
      <c r="AG821" s="3">
        <v>-37011.684499999996</v>
      </c>
      <c r="AH821" s="3">
        <v>-37011.684499999996</v>
      </c>
      <c r="AI821" s="3">
        <v>0</v>
      </c>
      <c r="AJ821" s="3">
        <v>0</v>
      </c>
    </row>
    <row r="822" spans="1:36" x14ac:dyDescent="0.2">
      <c r="A822" s="3" t="s">
        <v>68</v>
      </c>
      <c r="B822" s="3" t="s">
        <v>117</v>
      </c>
      <c r="C822" s="3" t="s">
        <v>118</v>
      </c>
      <c r="D822" s="3">
        <v>3</v>
      </c>
      <c r="E822" s="3">
        <v>2023</v>
      </c>
      <c r="F822" s="3">
        <v>1</v>
      </c>
      <c r="G822" s="3" t="s">
        <v>42</v>
      </c>
      <c r="H822" s="3" t="s">
        <v>46</v>
      </c>
      <c r="I822" s="5">
        <v>119284.00000000001</v>
      </c>
      <c r="J822" s="3">
        <v>23771</v>
      </c>
      <c r="K822" s="3">
        <v>95513</v>
      </c>
      <c r="L822" s="3">
        <v>71570.400000000009</v>
      </c>
      <c r="M822" s="3">
        <v>23942.600000000002</v>
      </c>
      <c r="N822" s="3">
        <v>74353.513189999998</v>
      </c>
      <c r="O822" s="3">
        <f t="shared" si="13"/>
        <v>77.846484970632275</v>
      </c>
      <c r="P822" s="3">
        <v>11247.5</v>
      </c>
      <c r="Q822" s="3">
        <v>18706.308720000001</v>
      </c>
      <c r="R822" s="3">
        <v>28700.696969999997</v>
      </c>
      <c r="S822" s="3">
        <v>5303.65</v>
      </c>
      <c r="T822" s="3">
        <v>111.78750000000001</v>
      </c>
      <c r="U822" s="3">
        <v>2394.2600000000002</v>
      </c>
      <c r="V822" s="3">
        <v>7889.3100000000013</v>
      </c>
      <c r="W822" s="3">
        <v>2380.1005800000003</v>
      </c>
      <c r="X822" s="3">
        <v>-52791.01376999999</v>
      </c>
      <c r="Y822" s="3">
        <v>0</v>
      </c>
      <c r="Z822" s="3">
        <v>22924.33</v>
      </c>
      <c r="AA822" s="3">
        <v>-22924.33</v>
      </c>
      <c r="AB822" s="3">
        <v>0</v>
      </c>
      <c r="AC822" s="3">
        <v>0</v>
      </c>
      <c r="AD822" s="3">
        <v>0</v>
      </c>
      <c r="AE822" s="3">
        <v>-75715.343770000007</v>
      </c>
      <c r="AF822" s="3">
        <v>0</v>
      </c>
      <c r="AG822" s="3">
        <v>-75715.343770000007</v>
      </c>
      <c r="AH822" s="3">
        <v>-75715.343770000007</v>
      </c>
      <c r="AI822" s="3">
        <v>0</v>
      </c>
      <c r="AJ822" s="3">
        <v>0</v>
      </c>
    </row>
    <row r="823" spans="1:36" x14ac:dyDescent="0.2">
      <c r="A823" s="3" t="s">
        <v>68</v>
      </c>
      <c r="B823" s="3" t="s">
        <v>117</v>
      </c>
      <c r="C823" s="3" t="s">
        <v>118</v>
      </c>
      <c r="D823" s="3">
        <v>2</v>
      </c>
      <c r="E823" s="3">
        <v>2023</v>
      </c>
      <c r="F823" s="3">
        <v>1</v>
      </c>
      <c r="G823" s="3" t="s">
        <v>42</v>
      </c>
      <c r="H823" s="3" t="s">
        <v>46</v>
      </c>
      <c r="I823" s="5">
        <v>315405.99999999994</v>
      </c>
      <c r="J823" s="3">
        <v>0</v>
      </c>
      <c r="K823" s="3">
        <v>315405.99999999994</v>
      </c>
      <c r="L823" s="3">
        <v>189243.6</v>
      </c>
      <c r="M823" s="3">
        <v>126162.4</v>
      </c>
      <c r="N823" s="3">
        <v>108072.92894999999</v>
      </c>
      <c r="O823" s="3">
        <f t="shared" si="13"/>
        <v>34.264702938434908</v>
      </c>
      <c r="P823" s="3">
        <v>9257.4999999999982</v>
      </c>
      <c r="Q823" s="3">
        <v>11904.014640000001</v>
      </c>
      <c r="R823" s="3">
        <v>18927.037709999997</v>
      </c>
      <c r="S823" s="3">
        <v>2982</v>
      </c>
      <c r="T823" s="3">
        <v>49000</v>
      </c>
      <c r="U823" s="3">
        <v>12616.24</v>
      </c>
      <c r="V823" s="3">
        <v>3386.1365999999998</v>
      </c>
      <c r="W823" s="3">
        <v>2580.4379999999996</v>
      </c>
      <c r="X823" s="3">
        <v>15509.033049999987</v>
      </c>
      <c r="Y823" s="3">
        <v>1.12371</v>
      </c>
      <c r="Z823" s="3">
        <v>13194.286</v>
      </c>
      <c r="AA823" s="3">
        <v>-13193.162289999998</v>
      </c>
      <c r="AB823" s="3">
        <v>0</v>
      </c>
      <c r="AC823" s="3">
        <v>0</v>
      </c>
      <c r="AD823" s="3">
        <v>0</v>
      </c>
      <c r="AE823" s="3">
        <v>2315.8707599999893</v>
      </c>
      <c r="AF823" s="3">
        <v>0</v>
      </c>
      <c r="AG823" s="3">
        <v>2315.8707599999893</v>
      </c>
      <c r="AH823" s="3">
        <v>2315.8707599999893</v>
      </c>
      <c r="AI823" s="3">
        <v>0</v>
      </c>
      <c r="AJ823" s="3">
        <v>0</v>
      </c>
    </row>
    <row r="824" spans="1:36" x14ac:dyDescent="0.2">
      <c r="A824" s="3" t="s">
        <v>68</v>
      </c>
      <c r="B824" s="3" t="s">
        <v>117</v>
      </c>
      <c r="C824" s="3" t="s">
        <v>118</v>
      </c>
      <c r="D824" s="3">
        <v>3</v>
      </c>
      <c r="E824" s="3">
        <v>2023</v>
      </c>
      <c r="F824" s="3">
        <v>1</v>
      </c>
      <c r="G824" s="3" t="s">
        <v>48</v>
      </c>
      <c r="H824" s="3" t="s">
        <v>46</v>
      </c>
      <c r="I824" s="5">
        <v>3379544</v>
      </c>
      <c r="J824" s="3">
        <v>110417.29999999999</v>
      </c>
      <c r="K824" s="3">
        <v>3269126.6999999997</v>
      </c>
      <c r="L824" s="3">
        <v>2322867.2179999999</v>
      </c>
      <c r="M824" s="3">
        <v>946259.48199999984</v>
      </c>
      <c r="N824" s="3">
        <v>2949984.157802172</v>
      </c>
      <c r="O824" s="3">
        <f t="shared" si="13"/>
        <v>90.237682063597362</v>
      </c>
      <c r="P824" s="3">
        <v>353103.33333333337</v>
      </c>
      <c r="Q824" s="3">
        <v>587264.72223999992</v>
      </c>
      <c r="R824" s="3">
        <v>901027.94123999984</v>
      </c>
      <c r="S824" s="3">
        <v>45376.450000000004</v>
      </c>
      <c r="T824" s="3">
        <v>784024.00078883872</v>
      </c>
      <c r="U824" s="3">
        <v>94625.948199999999</v>
      </c>
      <c r="V824" s="3">
        <v>184561.76199999999</v>
      </c>
      <c r="W824" s="3">
        <v>74720.733359999998</v>
      </c>
      <c r="X824" s="3">
        <v>-2078445.4091621723</v>
      </c>
      <c r="Y824" s="3">
        <v>618.35199999999998</v>
      </c>
      <c r="Z824" s="3">
        <v>419037.81006686616</v>
      </c>
      <c r="AA824" s="3">
        <v>-418419.45806686621</v>
      </c>
      <c r="AB824" s="3">
        <v>700</v>
      </c>
      <c r="AC824" s="3">
        <v>0</v>
      </c>
      <c r="AD824" s="3">
        <v>700</v>
      </c>
      <c r="AE824" s="3">
        <v>-2496164.8672290388</v>
      </c>
      <c r="AF824" s="3">
        <v>0</v>
      </c>
      <c r="AG824" s="3">
        <v>-2496164.8672290388</v>
      </c>
      <c r="AH824" s="3">
        <v>-2496164.8672290388</v>
      </c>
      <c r="AI824" s="3">
        <v>7420000</v>
      </c>
      <c r="AJ824" s="3">
        <v>-252000</v>
      </c>
    </row>
    <row r="825" spans="1:36" x14ac:dyDescent="0.2">
      <c r="A825" s="3" t="s">
        <v>68</v>
      </c>
      <c r="B825" s="3" t="s">
        <v>117</v>
      </c>
      <c r="C825" s="3" t="s">
        <v>118</v>
      </c>
      <c r="D825" s="3">
        <v>1</v>
      </c>
      <c r="E825" s="3">
        <v>2023</v>
      </c>
      <c r="F825" s="3">
        <v>1</v>
      </c>
      <c r="G825" s="3" t="s">
        <v>48</v>
      </c>
      <c r="H825" s="3" t="s">
        <v>46</v>
      </c>
      <c r="I825" s="5">
        <v>4155500</v>
      </c>
      <c r="J825" s="3">
        <v>111759.2</v>
      </c>
      <c r="K825" s="3">
        <v>4043740.8000000003</v>
      </c>
      <c r="L825" s="3">
        <v>2971845.4</v>
      </c>
      <c r="M825" s="3">
        <v>1071895.3999999999</v>
      </c>
      <c r="N825" s="3">
        <v>3348701.1188684055</v>
      </c>
      <c r="O825" s="3">
        <f t="shared" si="13"/>
        <v>82.811962598305144</v>
      </c>
      <c r="P825" s="3">
        <v>325970</v>
      </c>
      <c r="Q825" s="3">
        <v>838949.60320000001</v>
      </c>
      <c r="R825" s="3">
        <v>1375050.6395999996</v>
      </c>
      <c r="S825" s="3">
        <v>74821.16</v>
      </c>
      <c r="T825" s="3">
        <v>334038.44246840547</v>
      </c>
      <c r="U825" s="3">
        <v>107189.54</v>
      </c>
      <c r="V825" s="3">
        <v>292681.73360000004</v>
      </c>
      <c r="W825" s="3">
        <v>87369.846400000009</v>
      </c>
      <c r="X825" s="3">
        <v>-2364175.5652684052</v>
      </c>
      <c r="Y825" s="3">
        <v>669.12279999999998</v>
      </c>
      <c r="Z825" s="3">
        <v>320618.845110333</v>
      </c>
      <c r="AA825" s="3">
        <v>-319949.72231033299</v>
      </c>
      <c r="AB825" s="3">
        <v>0</v>
      </c>
      <c r="AC825" s="3">
        <v>0</v>
      </c>
      <c r="AD825" s="3">
        <v>0</v>
      </c>
      <c r="AE825" s="3">
        <v>-2684125.2875787383</v>
      </c>
      <c r="AF825" s="3">
        <v>0</v>
      </c>
      <c r="AG825" s="3">
        <v>-2684125.2875787383</v>
      </c>
      <c r="AH825" s="3">
        <v>-2684125.2875787383</v>
      </c>
      <c r="AI825" s="3">
        <v>13600000</v>
      </c>
      <c r="AJ825" s="3">
        <v>-300000</v>
      </c>
    </row>
    <row r="826" spans="1:36" x14ac:dyDescent="0.2">
      <c r="A826" s="3" t="s">
        <v>68</v>
      </c>
      <c r="B826" s="3" t="s">
        <v>117</v>
      </c>
      <c r="C826" s="3" t="s">
        <v>118</v>
      </c>
      <c r="D826" s="3">
        <v>2</v>
      </c>
      <c r="E826" s="3">
        <v>2023</v>
      </c>
      <c r="F826" s="3">
        <v>1</v>
      </c>
      <c r="G826" s="3" t="s">
        <v>48</v>
      </c>
      <c r="H826" s="3" t="s">
        <v>46</v>
      </c>
      <c r="I826" s="5">
        <v>6820980</v>
      </c>
      <c r="J826" s="3">
        <v>293405.55</v>
      </c>
      <c r="K826" s="3">
        <v>6527574.4499999993</v>
      </c>
      <c r="L826" s="3">
        <v>4592557.7549999999</v>
      </c>
      <c r="M826" s="3">
        <v>1935016.6949999998</v>
      </c>
      <c r="N826" s="3">
        <v>2981851.3536392199</v>
      </c>
      <c r="O826" s="3">
        <f t="shared" si="13"/>
        <v>45.680847862856936</v>
      </c>
      <c r="P826" s="3">
        <v>489325</v>
      </c>
      <c r="Q826" s="3">
        <v>629212.20239999995</v>
      </c>
      <c r="R826" s="3">
        <v>1000429.1361</v>
      </c>
      <c r="S826" s="3">
        <v>29475.87</v>
      </c>
      <c r="T826" s="3">
        <v>425617.04963921988</v>
      </c>
      <c r="U826" s="3">
        <v>193501.66950000002</v>
      </c>
      <c r="V826" s="3">
        <v>214290.42600000001</v>
      </c>
      <c r="W826" s="3">
        <v>136394.58000000002</v>
      </c>
      <c r="X826" s="3">
        <v>-1183229.2386392204</v>
      </c>
      <c r="Y826" s="3">
        <v>898.71915000000001</v>
      </c>
      <c r="Z826" s="3">
        <v>466621.21551424952</v>
      </c>
      <c r="AA826" s="3">
        <v>-465722.4963642495</v>
      </c>
      <c r="AB826" s="3">
        <v>17550</v>
      </c>
      <c r="AC826" s="3">
        <v>0</v>
      </c>
      <c r="AD826" s="3">
        <v>17550</v>
      </c>
      <c r="AE826" s="3">
        <v>-1631401.7350034695</v>
      </c>
      <c r="AF826" s="3">
        <v>0</v>
      </c>
      <c r="AG826" s="3">
        <v>-1631401.7350034695</v>
      </c>
      <c r="AH826" s="3">
        <v>-1631401.7350034695</v>
      </c>
      <c r="AI826" s="3">
        <v>11850000</v>
      </c>
      <c r="AJ826" s="3">
        <v>-255000</v>
      </c>
    </row>
    <row r="827" spans="1:36" x14ac:dyDescent="0.2">
      <c r="A827" s="3" t="s">
        <v>68</v>
      </c>
      <c r="B827" s="3" t="s">
        <v>117</v>
      </c>
      <c r="C827" s="3" t="s">
        <v>118</v>
      </c>
      <c r="D827" s="3">
        <v>3</v>
      </c>
      <c r="E827" s="3">
        <v>2023</v>
      </c>
      <c r="F827" s="3">
        <v>1</v>
      </c>
      <c r="G827" s="3" t="s">
        <v>39</v>
      </c>
      <c r="H827" s="3" t="s">
        <v>46</v>
      </c>
      <c r="I827" s="5">
        <v>61434942.479999997</v>
      </c>
      <c r="J827" s="3">
        <v>0</v>
      </c>
      <c r="K827" s="3">
        <v>61434942.479999997</v>
      </c>
      <c r="L827" s="3">
        <v>61283629.850000001</v>
      </c>
      <c r="M827" s="3">
        <v>151312.63</v>
      </c>
      <c r="N827" s="3">
        <v>322454.77939406974</v>
      </c>
      <c r="O827" s="3">
        <f t="shared" si="13"/>
        <v>0.52487194807587578</v>
      </c>
      <c r="P827" s="3">
        <v>46012.500000000007</v>
      </c>
      <c r="Q827" s="3">
        <v>76525.808400000009</v>
      </c>
      <c r="R827" s="3">
        <v>117411.94214999999</v>
      </c>
      <c r="S827" s="3">
        <v>2160</v>
      </c>
      <c r="T827" s="3">
        <v>33356.815844069723</v>
      </c>
      <c r="U827" s="3">
        <v>15131.263000000001</v>
      </c>
      <c r="V827" s="3">
        <v>31856.45</v>
      </c>
      <c r="W827" s="3">
        <v>9736.7750999999989</v>
      </c>
      <c r="X827" s="3">
        <v>-180878.92449406971</v>
      </c>
      <c r="Y827" s="3">
        <v>1069.4000000000001</v>
      </c>
      <c r="Z827" s="3">
        <v>43309.579999999994</v>
      </c>
      <c r="AA827" s="3">
        <v>-42240.18</v>
      </c>
      <c r="AB827" s="3">
        <v>350</v>
      </c>
      <c r="AC827" s="3">
        <v>0</v>
      </c>
      <c r="AD827" s="3">
        <v>350</v>
      </c>
      <c r="AE827" s="3">
        <v>-222769.10449406973</v>
      </c>
      <c r="AF827" s="3">
        <v>0</v>
      </c>
      <c r="AG827" s="3">
        <v>-222769.10449406973</v>
      </c>
      <c r="AH827" s="3">
        <v>-222769.10449406973</v>
      </c>
      <c r="AI827" s="3">
        <v>61434942.479999997</v>
      </c>
      <c r="AJ827" s="3">
        <v>-26000</v>
      </c>
    </row>
    <row r="828" spans="1:36" x14ac:dyDescent="0.2">
      <c r="A828" s="3" t="s">
        <v>68</v>
      </c>
      <c r="B828" s="3" t="s">
        <v>117</v>
      </c>
      <c r="C828" s="3" t="s">
        <v>118</v>
      </c>
      <c r="D828" s="3">
        <v>1</v>
      </c>
      <c r="E828" s="3">
        <v>2023</v>
      </c>
      <c r="F828" s="3">
        <v>1</v>
      </c>
      <c r="G828" s="3" t="s">
        <v>39</v>
      </c>
      <c r="H828" s="3" t="s">
        <v>46</v>
      </c>
      <c r="I828" s="5">
        <v>62078583</v>
      </c>
      <c r="J828" s="3">
        <v>0</v>
      </c>
      <c r="K828" s="3">
        <v>62078583</v>
      </c>
      <c r="L828" s="3">
        <v>62036233</v>
      </c>
      <c r="M828" s="3">
        <v>42350</v>
      </c>
      <c r="N828" s="3">
        <v>450064.63086120703</v>
      </c>
      <c r="O828" s="3">
        <f t="shared" si="13"/>
        <v>0.72499179122888002</v>
      </c>
      <c r="P828" s="3">
        <v>41627.249999999993</v>
      </c>
      <c r="Q828" s="3">
        <v>107136.13176</v>
      </c>
      <c r="R828" s="3">
        <v>175597.68303000001</v>
      </c>
      <c r="S828" s="3">
        <v>4536</v>
      </c>
      <c r="T828" s="3">
        <v>73573.088091207086</v>
      </c>
      <c r="U828" s="3">
        <v>4235</v>
      </c>
      <c r="V828" s="3">
        <v>43359.477980000003</v>
      </c>
      <c r="W828" s="3">
        <v>11157.365519999999</v>
      </c>
      <c r="X828" s="3">
        <v>-418871.99638120708</v>
      </c>
      <c r="Y828" s="3">
        <v>2715.2717899999993</v>
      </c>
      <c r="Z828" s="3">
        <v>56519.455999999998</v>
      </c>
      <c r="AA828" s="3">
        <v>-53804.184210000007</v>
      </c>
      <c r="AB828" s="3">
        <v>0</v>
      </c>
      <c r="AC828" s="3">
        <v>0</v>
      </c>
      <c r="AD828" s="3">
        <v>0</v>
      </c>
      <c r="AE828" s="3">
        <v>-472676.18059120711</v>
      </c>
      <c r="AF828" s="3">
        <v>0</v>
      </c>
      <c r="AG828" s="3">
        <v>-472676.18059120711</v>
      </c>
      <c r="AH828" s="3">
        <v>-472676.18059120711</v>
      </c>
      <c r="AI828" s="3">
        <v>146078583</v>
      </c>
      <c r="AJ828" s="3">
        <v>-16800</v>
      </c>
    </row>
    <row r="829" spans="1:36" x14ac:dyDescent="0.2">
      <c r="A829" s="3" t="s">
        <v>68</v>
      </c>
      <c r="B829" s="3" t="s">
        <v>117</v>
      </c>
      <c r="C829" s="3" t="s">
        <v>118</v>
      </c>
      <c r="D829" s="3">
        <v>2</v>
      </c>
      <c r="E829" s="3">
        <v>2023</v>
      </c>
      <c r="F829" s="3">
        <v>1</v>
      </c>
      <c r="G829" s="3" t="s">
        <v>39</v>
      </c>
      <c r="H829" s="3" t="s">
        <v>46</v>
      </c>
      <c r="I829" s="5">
        <v>214627996</v>
      </c>
      <c r="J829" s="3">
        <v>0</v>
      </c>
      <c r="K829" s="3">
        <v>214627996</v>
      </c>
      <c r="L829" s="3">
        <v>214091003.5</v>
      </c>
      <c r="M829" s="3">
        <v>536992.49999999988</v>
      </c>
      <c r="N829" s="3">
        <v>777564.44030870381</v>
      </c>
      <c r="O829" s="3">
        <f t="shared" si="13"/>
        <v>0.36228472277619539</v>
      </c>
      <c r="P829" s="3">
        <v>136878.75000000003</v>
      </c>
      <c r="Q829" s="3">
        <v>176009.35931999999</v>
      </c>
      <c r="R829" s="3">
        <v>279849.77185500006</v>
      </c>
      <c r="S829" s="3">
        <v>0</v>
      </c>
      <c r="T829" s="3">
        <v>75116.027833703774</v>
      </c>
      <c r="U829" s="3">
        <v>53699.25</v>
      </c>
      <c r="V829" s="3">
        <v>56011.281300000002</v>
      </c>
      <c r="W829" s="3">
        <v>38153.618999999999</v>
      </c>
      <c r="X829" s="3">
        <v>-278725.55930870387</v>
      </c>
      <c r="Y829" s="3">
        <v>5359.5200299999988</v>
      </c>
      <c r="Z829" s="3">
        <v>89294.625</v>
      </c>
      <c r="AA829" s="3">
        <v>-83935.104969999986</v>
      </c>
      <c r="AB829" s="3">
        <v>0</v>
      </c>
      <c r="AC829" s="3">
        <v>12006</v>
      </c>
      <c r="AD829" s="3">
        <v>-12006</v>
      </c>
      <c r="AE829" s="3">
        <v>-374666.66427870386</v>
      </c>
      <c r="AF829" s="3">
        <v>0</v>
      </c>
      <c r="AG829" s="3">
        <v>-374666.66427870386</v>
      </c>
      <c r="AH829" s="3">
        <v>-374666.66427870386</v>
      </c>
      <c r="AI829" s="3">
        <v>214627996</v>
      </c>
      <c r="AJ829" s="3">
        <v>-26450</v>
      </c>
    </row>
    <row r="830" spans="1:36" x14ac:dyDescent="0.2">
      <c r="A830" s="3" t="s">
        <v>75</v>
      </c>
      <c r="B830" s="3" t="s">
        <v>76</v>
      </c>
      <c r="C830" s="3" t="s">
        <v>77</v>
      </c>
      <c r="D830" s="3">
        <v>1</v>
      </c>
      <c r="E830" s="3">
        <v>2023</v>
      </c>
      <c r="F830" s="3">
        <v>1</v>
      </c>
      <c r="G830" s="3" t="s">
        <v>42</v>
      </c>
      <c r="H830" s="3" t="s">
        <v>40</v>
      </c>
      <c r="I830" s="5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 t="e">
        <f t="shared" si="13"/>
        <v>#DIV/0!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</row>
    <row r="831" spans="1:36" x14ac:dyDescent="0.2">
      <c r="A831" s="3" t="s">
        <v>75</v>
      </c>
      <c r="B831" s="3" t="s">
        <v>76</v>
      </c>
      <c r="C831" s="3" t="s">
        <v>77</v>
      </c>
      <c r="D831" s="3">
        <v>1</v>
      </c>
      <c r="E831" s="3">
        <v>2023</v>
      </c>
      <c r="F831" s="3">
        <v>1</v>
      </c>
      <c r="G831" s="3" t="s">
        <v>48</v>
      </c>
      <c r="H831" s="3" t="s">
        <v>40</v>
      </c>
      <c r="I831" s="5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 t="e">
        <f t="shared" si="13"/>
        <v>#DIV/0!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3">
        <v>0</v>
      </c>
    </row>
    <row r="832" spans="1:36" x14ac:dyDescent="0.2">
      <c r="A832" s="3" t="s">
        <v>75</v>
      </c>
      <c r="B832" s="3" t="s">
        <v>76</v>
      </c>
      <c r="C832" s="3" t="s">
        <v>77</v>
      </c>
      <c r="D832" s="3">
        <v>2</v>
      </c>
      <c r="E832" s="3">
        <v>2023</v>
      </c>
      <c r="F832" s="3">
        <v>1</v>
      </c>
      <c r="G832" s="3" t="s">
        <v>42</v>
      </c>
      <c r="H832" s="3" t="s">
        <v>40</v>
      </c>
      <c r="I832" s="5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 t="e">
        <f t="shared" ref="O832:O895" si="14">N832/K832*100</f>
        <v>#DIV/0!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</row>
    <row r="833" spans="1:36" x14ac:dyDescent="0.2">
      <c r="A833" s="3" t="s">
        <v>75</v>
      </c>
      <c r="B833" s="3" t="s">
        <v>76</v>
      </c>
      <c r="C833" s="3" t="s">
        <v>77</v>
      </c>
      <c r="D833" s="3">
        <v>2</v>
      </c>
      <c r="E833" s="3">
        <v>2023</v>
      </c>
      <c r="F833" s="3">
        <v>1</v>
      </c>
      <c r="G833" s="3" t="s">
        <v>48</v>
      </c>
      <c r="H833" s="3" t="s">
        <v>40</v>
      </c>
      <c r="I833" s="5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 t="e">
        <f t="shared" si="14"/>
        <v>#DIV/0!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</row>
    <row r="834" spans="1:36" x14ac:dyDescent="0.2">
      <c r="A834" s="3" t="s">
        <v>75</v>
      </c>
      <c r="B834" s="3" t="s">
        <v>76</v>
      </c>
      <c r="C834" s="3" t="s">
        <v>77</v>
      </c>
      <c r="D834" s="3">
        <v>3</v>
      </c>
      <c r="E834" s="3">
        <v>2023</v>
      </c>
      <c r="F834" s="3">
        <v>1</v>
      </c>
      <c r="G834" s="3" t="s">
        <v>42</v>
      </c>
      <c r="H834" s="3" t="s">
        <v>40</v>
      </c>
      <c r="I834" s="5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 t="e">
        <f t="shared" si="14"/>
        <v>#DIV/0!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</row>
    <row r="835" spans="1:36" x14ac:dyDescent="0.2">
      <c r="A835" s="3" t="s">
        <v>75</v>
      </c>
      <c r="B835" s="3" t="s">
        <v>76</v>
      </c>
      <c r="C835" s="3" t="s">
        <v>77</v>
      </c>
      <c r="D835" s="3">
        <v>3</v>
      </c>
      <c r="E835" s="3">
        <v>2023</v>
      </c>
      <c r="F835" s="3">
        <v>1</v>
      </c>
      <c r="G835" s="3" t="s">
        <v>48</v>
      </c>
      <c r="H835" s="3" t="s">
        <v>40</v>
      </c>
      <c r="I835" s="5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 t="e">
        <f t="shared" si="14"/>
        <v>#DIV/0!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</row>
    <row r="836" spans="1:36" x14ac:dyDescent="0.2">
      <c r="A836" s="3" t="s">
        <v>75</v>
      </c>
      <c r="B836" s="3" t="s">
        <v>76</v>
      </c>
      <c r="C836" s="3" t="s">
        <v>77</v>
      </c>
      <c r="D836" s="3">
        <v>2</v>
      </c>
      <c r="E836" s="3">
        <v>2023</v>
      </c>
      <c r="F836" s="3">
        <v>1</v>
      </c>
      <c r="G836" s="3" t="s">
        <v>42</v>
      </c>
      <c r="H836" s="3" t="s">
        <v>46</v>
      </c>
      <c r="I836" s="5">
        <v>746560</v>
      </c>
      <c r="J836" s="3">
        <v>29648</v>
      </c>
      <c r="K836" s="3">
        <v>716912</v>
      </c>
      <c r="L836" s="3">
        <v>447936</v>
      </c>
      <c r="M836" s="3">
        <v>268976</v>
      </c>
      <c r="N836" s="3">
        <v>593571.34640000004</v>
      </c>
      <c r="O836" s="3">
        <f t="shared" si="14"/>
        <v>82.795565759814309</v>
      </c>
      <c r="P836" s="3">
        <v>92400</v>
      </c>
      <c r="Q836" s="3">
        <v>85171.615999999995</v>
      </c>
      <c r="R836" s="3">
        <v>294478.03439999995</v>
      </c>
      <c r="S836" s="3">
        <v>0</v>
      </c>
      <c r="T836" s="3">
        <v>78907.759999999995</v>
      </c>
      <c r="U836" s="3">
        <v>0</v>
      </c>
      <c r="V836" s="3">
        <v>42613.936000000002</v>
      </c>
      <c r="W836" s="3">
        <v>65655.309280000001</v>
      </c>
      <c r="X836" s="3">
        <v>-390250.65567999997</v>
      </c>
      <c r="Y836" s="3">
        <v>0</v>
      </c>
      <c r="Z836" s="3">
        <v>30405.264000000003</v>
      </c>
      <c r="AA836" s="3">
        <v>-30405.264000000003</v>
      </c>
      <c r="AB836" s="3">
        <v>0</v>
      </c>
      <c r="AC836" s="3">
        <v>0</v>
      </c>
      <c r="AD836" s="3">
        <v>0</v>
      </c>
      <c r="AE836" s="3">
        <v>-420655.91967999993</v>
      </c>
      <c r="AF836" s="3">
        <v>0</v>
      </c>
      <c r="AG836" s="3">
        <v>-420655.91967999993</v>
      </c>
      <c r="AH836" s="3">
        <v>-420655.91967999993</v>
      </c>
      <c r="AI836" s="3">
        <v>1280000</v>
      </c>
      <c r="AJ836" s="3">
        <v>0</v>
      </c>
    </row>
    <row r="837" spans="1:36" x14ac:dyDescent="0.2">
      <c r="A837" s="3" t="s">
        <v>75</v>
      </c>
      <c r="B837" s="3" t="s">
        <v>76</v>
      </c>
      <c r="C837" s="3" t="s">
        <v>77</v>
      </c>
      <c r="D837" s="3">
        <v>1</v>
      </c>
      <c r="E837" s="3">
        <v>2023</v>
      </c>
      <c r="F837" s="3">
        <v>1</v>
      </c>
      <c r="G837" s="3" t="s">
        <v>42</v>
      </c>
      <c r="H837" s="3" t="s">
        <v>46</v>
      </c>
      <c r="I837" s="5">
        <v>808236</v>
      </c>
      <c r="J837" s="3">
        <v>89383.5</v>
      </c>
      <c r="K837" s="3">
        <v>718852.5</v>
      </c>
      <c r="L837" s="3">
        <v>493826.81400000001</v>
      </c>
      <c r="M837" s="3">
        <v>225025.68600000002</v>
      </c>
      <c r="N837" s="3">
        <v>678619.35756000003</v>
      </c>
      <c r="O837" s="3">
        <f t="shared" si="14"/>
        <v>94.403143560048832</v>
      </c>
      <c r="P837" s="3">
        <v>103950</v>
      </c>
      <c r="Q837" s="3">
        <v>76400.567999999999</v>
      </c>
      <c r="R837" s="3">
        <v>370785.93156000006</v>
      </c>
      <c r="S837" s="3">
        <v>32862.798000000003</v>
      </c>
      <c r="T837" s="3">
        <v>63045.054000000004</v>
      </c>
      <c r="U837" s="3">
        <v>0</v>
      </c>
      <c r="V837" s="3">
        <v>31575.006000000001</v>
      </c>
      <c r="W837" s="3">
        <v>105946.32509999999</v>
      </c>
      <c r="X837" s="3">
        <v>-559539.99666000006</v>
      </c>
      <c r="Y837" s="3">
        <v>0</v>
      </c>
      <c r="Z837" s="3">
        <v>33609.15</v>
      </c>
      <c r="AA837" s="3">
        <v>-33609.15</v>
      </c>
      <c r="AB837" s="3">
        <v>0</v>
      </c>
      <c r="AC837" s="3">
        <v>0</v>
      </c>
      <c r="AD837" s="3">
        <v>0</v>
      </c>
      <c r="AE837" s="3">
        <v>-593149.14666000009</v>
      </c>
      <c r="AF837" s="3">
        <v>0</v>
      </c>
      <c r="AG837" s="3">
        <v>-593149.14666000009</v>
      </c>
      <c r="AH837" s="3">
        <v>-593149.14666000009</v>
      </c>
      <c r="AI837" s="3">
        <v>540000</v>
      </c>
      <c r="AJ837" s="3">
        <v>0</v>
      </c>
    </row>
    <row r="838" spans="1:36" x14ac:dyDescent="0.2">
      <c r="A838" s="3" t="s">
        <v>75</v>
      </c>
      <c r="B838" s="3" t="s">
        <v>76</v>
      </c>
      <c r="C838" s="3" t="s">
        <v>77</v>
      </c>
      <c r="D838" s="3">
        <v>3</v>
      </c>
      <c r="E838" s="3">
        <v>2023</v>
      </c>
      <c r="F838" s="3">
        <v>1</v>
      </c>
      <c r="G838" s="3" t="s">
        <v>42</v>
      </c>
      <c r="H838" s="3" t="s">
        <v>46</v>
      </c>
      <c r="I838" s="5">
        <v>1674908</v>
      </c>
      <c r="J838" s="3">
        <v>256207</v>
      </c>
      <c r="K838" s="3">
        <v>1418701</v>
      </c>
      <c r="L838" s="3">
        <v>1004944.7999999999</v>
      </c>
      <c r="M838" s="3">
        <v>413756.2</v>
      </c>
      <c r="N838" s="3">
        <v>598493.16391</v>
      </c>
      <c r="O838" s="3">
        <f t="shared" si="14"/>
        <v>42.185997184043714</v>
      </c>
      <c r="P838" s="3">
        <v>98175</v>
      </c>
      <c r="Q838" s="3">
        <v>72156.092000000004</v>
      </c>
      <c r="R838" s="3">
        <v>262468.83490999998</v>
      </c>
      <c r="S838" s="3">
        <v>72031.770999999993</v>
      </c>
      <c r="T838" s="3">
        <v>15191.795</v>
      </c>
      <c r="U838" s="3">
        <v>41443.773000000001</v>
      </c>
      <c r="V838" s="3">
        <v>37025.898000000001</v>
      </c>
      <c r="W838" s="3">
        <v>57978.38695</v>
      </c>
      <c r="X838" s="3">
        <v>-242715.35086000006</v>
      </c>
      <c r="Y838" s="3">
        <v>0</v>
      </c>
      <c r="Z838" s="3">
        <v>31237.075000000001</v>
      </c>
      <c r="AA838" s="3">
        <v>-31237.075000000001</v>
      </c>
      <c r="AB838" s="3">
        <v>0</v>
      </c>
      <c r="AC838" s="3">
        <v>0</v>
      </c>
      <c r="AD838" s="3">
        <v>0</v>
      </c>
      <c r="AE838" s="3">
        <v>-273952.42586000008</v>
      </c>
      <c r="AF838" s="3">
        <v>0</v>
      </c>
      <c r="AG838" s="3">
        <v>-273952.42586000008</v>
      </c>
      <c r="AH838" s="3">
        <v>-273952.42586000008</v>
      </c>
      <c r="AI838" s="3">
        <v>680000</v>
      </c>
      <c r="AJ838" s="3">
        <v>0</v>
      </c>
    </row>
    <row r="839" spans="1:36" x14ac:dyDescent="0.2">
      <c r="A839" s="3" t="s">
        <v>75</v>
      </c>
      <c r="B839" s="3" t="s">
        <v>76</v>
      </c>
      <c r="C839" s="3" t="s">
        <v>77</v>
      </c>
      <c r="D839" s="3">
        <v>1</v>
      </c>
      <c r="E839" s="3">
        <v>2023</v>
      </c>
      <c r="F839" s="3">
        <v>1</v>
      </c>
      <c r="G839" s="3" t="s">
        <v>48</v>
      </c>
      <c r="H839" s="3" t="s">
        <v>46</v>
      </c>
      <c r="I839" s="5">
        <v>5585328</v>
      </c>
      <c r="J839" s="3">
        <v>158907</v>
      </c>
      <c r="K839" s="3">
        <v>5426421</v>
      </c>
      <c r="L839" s="3">
        <v>3194070.915</v>
      </c>
      <c r="M839" s="3">
        <v>2232350.085</v>
      </c>
      <c r="N839" s="3">
        <v>8370740.6248200014</v>
      </c>
      <c r="O839" s="3">
        <f t="shared" si="14"/>
        <v>154.25896046067936</v>
      </c>
      <c r="P839" s="3">
        <v>672525</v>
      </c>
      <c r="Q839" s="3">
        <v>1028745.753</v>
      </c>
      <c r="R839" s="3">
        <v>4714919.2738199998</v>
      </c>
      <c r="S839" s="3">
        <v>356621.60100000002</v>
      </c>
      <c r="T839" s="3">
        <v>715186.68900000001</v>
      </c>
      <c r="U839" s="3">
        <v>239290.80000000002</v>
      </c>
      <c r="V839" s="3">
        <v>643451.50800000003</v>
      </c>
      <c r="W839" s="3">
        <v>685440.61845000007</v>
      </c>
      <c r="X839" s="3">
        <v>-6823831.1582699995</v>
      </c>
      <c r="Y839" s="3">
        <v>519.22500000000002</v>
      </c>
      <c r="Z839" s="3">
        <v>791991.06357270095</v>
      </c>
      <c r="AA839" s="3">
        <v>-791471.83857270097</v>
      </c>
      <c r="AB839" s="3">
        <v>0</v>
      </c>
      <c r="AC839" s="3">
        <v>0</v>
      </c>
      <c r="AD839" s="3">
        <v>0</v>
      </c>
      <c r="AE839" s="3">
        <v>-7615302.996842701</v>
      </c>
      <c r="AF839" s="3">
        <v>0</v>
      </c>
      <c r="AG839" s="3">
        <v>-7615302.996842701</v>
      </c>
      <c r="AH839" s="3">
        <v>-7615302.996842701</v>
      </c>
      <c r="AI839" s="3">
        <v>20580000</v>
      </c>
      <c r="AJ839" s="3">
        <v>-105000</v>
      </c>
    </row>
    <row r="840" spans="1:36" x14ac:dyDescent="0.2">
      <c r="A840" s="3" t="s">
        <v>75</v>
      </c>
      <c r="B840" s="3" t="s">
        <v>76</v>
      </c>
      <c r="C840" s="3" t="s">
        <v>77</v>
      </c>
      <c r="D840" s="3">
        <v>2</v>
      </c>
      <c r="E840" s="3">
        <v>2023</v>
      </c>
      <c r="F840" s="3">
        <v>1</v>
      </c>
      <c r="G840" s="3" t="s">
        <v>48</v>
      </c>
      <c r="H840" s="3" t="s">
        <v>46</v>
      </c>
      <c r="I840" s="5">
        <v>17702034.273000002</v>
      </c>
      <c r="J840" s="3">
        <v>830004.27299999993</v>
      </c>
      <c r="K840" s="3">
        <v>16872030</v>
      </c>
      <c r="L840" s="3">
        <v>11003613.936000001</v>
      </c>
      <c r="M840" s="3">
        <v>5868416.0639999993</v>
      </c>
      <c r="N840" s="3">
        <v>6921012.5343487021</v>
      </c>
      <c r="O840" s="3">
        <f t="shared" si="14"/>
        <v>41.02062724134975</v>
      </c>
      <c r="P840" s="3">
        <v>672525</v>
      </c>
      <c r="Q840" s="3">
        <v>911018.49300000002</v>
      </c>
      <c r="R840" s="3">
        <v>2914368.5266500004</v>
      </c>
      <c r="S840" s="3">
        <v>0</v>
      </c>
      <c r="T840" s="3">
        <v>1265157.2806987008</v>
      </c>
      <c r="U840" s="3">
        <v>608306.16</v>
      </c>
      <c r="V840" s="3">
        <v>549637.07400000002</v>
      </c>
      <c r="W840" s="3">
        <v>556204.92122999998</v>
      </c>
      <c r="X840" s="3">
        <v>-1608801.3915787011</v>
      </c>
      <c r="Y840" s="3">
        <v>1130.913</v>
      </c>
      <c r="Z840" s="3">
        <v>753735.77999999991</v>
      </c>
      <c r="AA840" s="3">
        <v>-752604.86700000009</v>
      </c>
      <c r="AB840" s="3">
        <v>0</v>
      </c>
      <c r="AC840" s="3">
        <v>0</v>
      </c>
      <c r="AD840" s="3">
        <v>0</v>
      </c>
      <c r="AE840" s="3">
        <v>-2361406.2585787009</v>
      </c>
      <c r="AF840" s="3">
        <v>0</v>
      </c>
      <c r="AG840" s="3">
        <v>-2361406.2585787009</v>
      </c>
      <c r="AH840" s="3">
        <v>-2361406.2585787009</v>
      </c>
      <c r="AI840" s="3">
        <v>22050000</v>
      </c>
      <c r="AJ840" s="3">
        <v>0</v>
      </c>
    </row>
    <row r="841" spans="1:36" x14ac:dyDescent="0.2">
      <c r="A841" s="3" t="s">
        <v>75</v>
      </c>
      <c r="B841" s="3" t="s">
        <v>76</v>
      </c>
      <c r="C841" s="3" t="s">
        <v>77</v>
      </c>
      <c r="D841" s="3">
        <v>3</v>
      </c>
      <c r="E841" s="3">
        <v>2023</v>
      </c>
      <c r="F841" s="3">
        <v>1</v>
      </c>
      <c r="G841" s="3" t="s">
        <v>48</v>
      </c>
      <c r="H841" s="3" t="s">
        <v>46</v>
      </c>
      <c r="I841" s="5">
        <v>30633062.026000001</v>
      </c>
      <c r="J841" s="3">
        <v>1954776.0259999998</v>
      </c>
      <c r="K841" s="3">
        <v>28678286</v>
      </c>
      <c r="L841" s="3">
        <v>19443255.504999995</v>
      </c>
      <c r="M841" s="3">
        <v>9235030.4949999992</v>
      </c>
      <c r="N841" s="3">
        <v>7812229.8577899998</v>
      </c>
      <c r="O841" s="3">
        <f t="shared" si="14"/>
        <v>27.240923177173137</v>
      </c>
      <c r="P841" s="3">
        <v>736575</v>
      </c>
      <c r="Q841" s="3">
        <v>1021305.409</v>
      </c>
      <c r="R841" s="3">
        <v>2613459.2657899996</v>
      </c>
      <c r="S841" s="3">
        <v>93707.956999999995</v>
      </c>
      <c r="T841" s="3">
        <v>1753106.9429999997</v>
      </c>
      <c r="U841" s="3">
        <v>721022.4</v>
      </c>
      <c r="V841" s="3">
        <v>873052.88300000003</v>
      </c>
      <c r="W841" s="3">
        <v>434992.92454999988</v>
      </c>
      <c r="X841" s="3">
        <v>987807.7126599995</v>
      </c>
      <c r="Y841" s="3">
        <v>638.572</v>
      </c>
      <c r="Z841" s="3">
        <v>576496.60999999987</v>
      </c>
      <c r="AA841" s="3">
        <v>-575858.03799999994</v>
      </c>
      <c r="AB841" s="3">
        <v>21850</v>
      </c>
      <c r="AC841" s="3">
        <v>275999.99999999994</v>
      </c>
      <c r="AD841" s="3">
        <v>-254149.99999999997</v>
      </c>
      <c r="AE841" s="3">
        <v>157799.6746599997</v>
      </c>
      <c r="AF841" s="3">
        <v>0</v>
      </c>
      <c r="AG841" s="3">
        <v>157799.6746599997</v>
      </c>
      <c r="AH841" s="3">
        <v>157799.6746599997</v>
      </c>
      <c r="AI841" s="3">
        <v>23000000</v>
      </c>
      <c r="AJ841" s="3">
        <v>0</v>
      </c>
    </row>
    <row r="842" spans="1:36" x14ac:dyDescent="0.2">
      <c r="A842" s="3" t="s">
        <v>75</v>
      </c>
      <c r="B842" s="3" t="s">
        <v>76</v>
      </c>
      <c r="C842" s="3" t="s">
        <v>77</v>
      </c>
      <c r="D842" s="3">
        <v>3</v>
      </c>
      <c r="E842" s="3">
        <v>2023</v>
      </c>
      <c r="F842" s="3">
        <v>1</v>
      </c>
      <c r="G842" s="3" t="s">
        <v>39</v>
      </c>
      <c r="H842" s="3" t="s">
        <v>46</v>
      </c>
      <c r="I842" s="5">
        <v>350435655</v>
      </c>
      <c r="J842" s="3">
        <v>0</v>
      </c>
      <c r="K842" s="3">
        <v>350435655</v>
      </c>
      <c r="L842" s="3">
        <v>349432410</v>
      </c>
      <c r="M842" s="3">
        <v>1003245</v>
      </c>
      <c r="N842" s="3">
        <v>625751.92949999997</v>
      </c>
      <c r="O842" s="3">
        <f t="shared" si="14"/>
        <v>0.17856400185648916</v>
      </c>
      <c r="P842" s="3">
        <v>78750</v>
      </c>
      <c r="Q842" s="3">
        <v>73379.100000000006</v>
      </c>
      <c r="R842" s="3">
        <v>210536.50949999996</v>
      </c>
      <c r="S842" s="3">
        <v>0</v>
      </c>
      <c r="T842" s="3">
        <v>110438.76000000001</v>
      </c>
      <c r="U842" s="3">
        <v>0</v>
      </c>
      <c r="V842" s="3">
        <v>152647.56</v>
      </c>
      <c r="W842" s="3">
        <v>94873.724100000079</v>
      </c>
      <c r="X842" s="3">
        <v>282619.34639999998</v>
      </c>
      <c r="Y842" s="3">
        <v>0</v>
      </c>
      <c r="Z842" s="3">
        <v>0</v>
      </c>
      <c r="AA842" s="3">
        <v>0</v>
      </c>
      <c r="AB842" s="3">
        <v>20100</v>
      </c>
      <c r="AC842" s="3">
        <v>1524</v>
      </c>
      <c r="AD842" s="3">
        <v>18576</v>
      </c>
      <c r="AE842" s="3">
        <v>301195.34639999998</v>
      </c>
      <c r="AF842" s="3">
        <v>0</v>
      </c>
      <c r="AG842" s="3">
        <v>301195.34639999998</v>
      </c>
      <c r="AH842" s="3">
        <v>301195.34639999998</v>
      </c>
      <c r="AI842" s="3">
        <v>350435655</v>
      </c>
      <c r="AJ842" s="3">
        <v>0</v>
      </c>
    </row>
    <row r="843" spans="1:36" x14ac:dyDescent="0.2">
      <c r="A843" s="3" t="s">
        <v>75</v>
      </c>
      <c r="B843" s="3" t="s">
        <v>76</v>
      </c>
      <c r="C843" s="3" t="s">
        <v>77</v>
      </c>
      <c r="D843" s="3">
        <v>1</v>
      </c>
      <c r="E843" s="3">
        <v>2023</v>
      </c>
      <c r="F843" s="3">
        <v>1</v>
      </c>
      <c r="G843" s="3" t="s">
        <v>39</v>
      </c>
      <c r="H843" s="3" t="s">
        <v>46</v>
      </c>
      <c r="I843" s="5">
        <v>385130130</v>
      </c>
      <c r="J843" s="3">
        <v>0</v>
      </c>
      <c r="K843" s="3">
        <v>385130130</v>
      </c>
      <c r="L843" s="3">
        <v>384530445</v>
      </c>
      <c r="M843" s="3">
        <v>599685</v>
      </c>
      <c r="N843" s="3">
        <v>1383144.1530000002</v>
      </c>
      <c r="O843" s="3">
        <f t="shared" si="14"/>
        <v>0.35913683330878321</v>
      </c>
      <c r="P843" s="3">
        <v>78750</v>
      </c>
      <c r="Q843" s="3">
        <v>79539.210000000006</v>
      </c>
      <c r="R843" s="3">
        <v>477990.06300000014</v>
      </c>
      <c r="S843" s="3">
        <v>60000</v>
      </c>
      <c r="T843" s="3">
        <v>564357.30000000005</v>
      </c>
      <c r="U843" s="3">
        <v>40606.950000000004</v>
      </c>
      <c r="V843" s="3">
        <v>81900.63</v>
      </c>
      <c r="W843" s="3">
        <v>80262.367500000051</v>
      </c>
      <c r="X843" s="3">
        <v>-863721.52050000022</v>
      </c>
      <c r="Y843" s="3">
        <v>0</v>
      </c>
      <c r="Z843" s="3">
        <v>0</v>
      </c>
      <c r="AA843" s="3">
        <v>0</v>
      </c>
      <c r="AB843" s="3">
        <v>33750</v>
      </c>
      <c r="AC843" s="3">
        <v>9906</v>
      </c>
      <c r="AD843" s="3">
        <v>23844</v>
      </c>
      <c r="AE843" s="3">
        <v>-839877.5205000001</v>
      </c>
      <c r="AF843" s="3">
        <v>0</v>
      </c>
      <c r="AG843" s="3">
        <v>-839877.5205000001</v>
      </c>
      <c r="AH843" s="3">
        <v>-839877.5205000001</v>
      </c>
      <c r="AI843" s="3">
        <v>742340130</v>
      </c>
      <c r="AJ843" s="3">
        <v>30000</v>
      </c>
    </row>
    <row r="844" spans="1:36" x14ac:dyDescent="0.2">
      <c r="A844" s="3" t="s">
        <v>75</v>
      </c>
      <c r="B844" s="3" t="s">
        <v>76</v>
      </c>
      <c r="C844" s="3" t="s">
        <v>77</v>
      </c>
      <c r="D844" s="3">
        <v>2</v>
      </c>
      <c r="E844" s="3">
        <v>2023</v>
      </c>
      <c r="F844" s="3">
        <v>1</v>
      </c>
      <c r="G844" s="3" t="s">
        <v>39</v>
      </c>
      <c r="H844" s="3" t="s">
        <v>46</v>
      </c>
      <c r="I844" s="5">
        <v>565489730</v>
      </c>
      <c r="J844" s="3">
        <v>0</v>
      </c>
      <c r="K844" s="3">
        <v>565489730</v>
      </c>
      <c r="L844" s="3">
        <v>564486923</v>
      </c>
      <c r="M844" s="3">
        <v>1002807</v>
      </c>
      <c r="N844" s="3">
        <v>720306.27870723477</v>
      </c>
      <c r="O844" s="3">
        <f t="shared" si="14"/>
        <v>0.12737742888933365</v>
      </c>
      <c r="P844" s="3">
        <v>68250</v>
      </c>
      <c r="Q844" s="3">
        <v>128660.32399999999</v>
      </c>
      <c r="R844" s="3">
        <v>244292.1845</v>
      </c>
      <c r="S844" s="3">
        <v>0</v>
      </c>
      <c r="T844" s="3">
        <v>138200.9562072347</v>
      </c>
      <c r="U844" s="3">
        <v>44426.719999999994</v>
      </c>
      <c r="V844" s="3">
        <v>96476.094000000012</v>
      </c>
      <c r="W844" s="3">
        <v>48495.398899999964</v>
      </c>
      <c r="X844" s="3">
        <v>234005.3223927654</v>
      </c>
      <c r="Y844" s="3">
        <v>0</v>
      </c>
      <c r="Z844" s="3">
        <v>0</v>
      </c>
      <c r="AA844" s="3">
        <v>0</v>
      </c>
      <c r="AB844" s="3">
        <v>33150</v>
      </c>
      <c r="AC844" s="3">
        <v>3302</v>
      </c>
      <c r="AD844" s="3">
        <v>29848</v>
      </c>
      <c r="AE844" s="3">
        <v>263853.32239276543</v>
      </c>
      <c r="AF844" s="3">
        <v>0</v>
      </c>
      <c r="AG844" s="3">
        <v>263853.32239276543</v>
      </c>
      <c r="AH844" s="3">
        <v>263853.32239276543</v>
      </c>
      <c r="AI844" s="3">
        <v>565489730</v>
      </c>
      <c r="AJ844" s="3">
        <v>0</v>
      </c>
    </row>
    <row r="845" spans="1:36" x14ac:dyDescent="0.2">
      <c r="A845" s="3" t="s">
        <v>75</v>
      </c>
      <c r="B845" s="3" t="s">
        <v>76</v>
      </c>
      <c r="C845" s="3" t="s">
        <v>77</v>
      </c>
      <c r="D845" s="3">
        <v>3</v>
      </c>
      <c r="E845" s="3">
        <v>2023</v>
      </c>
      <c r="F845" s="3">
        <v>1</v>
      </c>
      <c r="G845" s="3" t="s">
        <v>39</v>
      </c>
      <c r="H845" s="3" t="s">
        <v>40</v>
      </c>
      <c r="I845" s="5">
        <v>938261062.55471992</v>
      </c>
      <c r="J845" s="3">
        <v>0</v>
      </c>
      <c r="K845" s="3">
        <v>938261062.55471992</v>
      </c>
      <c r="L845" s="3">
        <v>936367290.54471982</v>
      </c>
      <c r="M845" s="3">
        <v>1893772.01</v>
      </c>
      <c r="N845" s="3">
        <v>996866.15989999985</v>
      </c>
      <c r="O845" s="3">
        <f t="shared" si="14"/>
        <v>0.1062461397668692</v>
      </c>
      <c r="P845" s="3">
        <v>68250</v>
      </c>
      <c r="Q845" s="3">
        <v>217494.31599999999</v>
      </c>
      <c r="R845" s="3">
        <v>343371.46090000001</v>
      </c>
      <c r="S845" s="3">
        <v>0</v>
      </c>
      <c r="T845" s="3">
        <v>50504.766000000011</v>
      </c>
      <c r="U845" s="3">
        <v>234367.497</v>
      </c>
      <c r="V845" s="3">
        <v>82878.12</v>
      </c>
      <c r="W845" s="3">
        <v>40305.830500000004</v>
      </c>
      <c r="X845" s="3">
        <v>856600.01960000012</v>
      </c>
      <c r="Y845" s="3">
        <v>531622.68954130542</v>
      </c>
      <c r="Z845" s="3">
        <v>555323.80153177783</v>
      </c>
      <c r="AA845" s="3">
        <v>-23701.111990472349</v>
      </c>
      <c r="AB845" s="3">
        <v>11830</v>
      </c>
      <c r="AC845" s="3">
        <v>21634.495999999999</v>
      </c>
      <c r="AD845" s="3">
        <v>-9804.496000000001</v>
      </c>
      <c r="AE845" s="3">
        <v>823094.41160952777</v>
      </c>
      <c r="AF845" s="3">
        <v>0</v>
      </c>
      <c r="AG845" s="3">
        <v>823094.41160952777</v>
      </c>
      <c r="AH845" s="3">
        <v>823094.41160952777</v>
      </c>
      <c r="AI845" s="3">
        <v>938261062.55471992</v>
      </c>
      <c r="AJ845" s="3">
        <v>0</v>
      </c>
    </row>
    <row r="846" spans="1:36" x14ac:dyDescent="0.2">
      <c r="A846" s="3" t="s">
        <v>75</v>
      </c>
      <c r="B846" s="3" t="s">
        <v>76</v>
      </c>
      <c r="C846" s="3" t="s">
        <v>77</v>
      </c>
      <c r="D846" s="3">
        <v>1</v>
      </c>
      <c r="E846" s="3">
        <v>2023</v>
      </c>
      <c r="F846" s="3">
        <v>1</v>
      </c>
      <c r="G846" s="3" t="s">
        <v>39</v>
      </c>
      <c r="H846" s="3" t="s">
        <v>40</v>
      </c>
      <c r="I846" s="5">
        <v>8763585940.5999985</v>
      </c>
      <c r="J846" s="3">
        <v>0</v>
      </c>
      <c r="K846" s="3">
        <v>8763585940.5999985</v>
      </c>
      <c r="L846" s="3">
        <v>8760853689.8999996</v>
      </c>
      <c r="M846" s="3">
        <v>2732250.7</v>
      </c>
      <c r="N846" s="3">
        <v>4203644.2050000001</v>
      </c>
      <c r="O846" s="3">
        <f t="shared" si="14"/>
        <v>4.7967170442470695E-2</v>
      </c>
      <c r="P846" s="3">
        <v>131250</v>
      </c>
      <c r="Q846" s="3">
        <v>422108.30000000005</v>
      </c>
      <c r="R846" s="3">
        <v>1931996.3800000001</v>
      </c>
      <c r="S846" s="3">
        <v>1256883.3</v>
      </c>
      <c r="T846" s="3">
        <v>71440.75</v>
      </c>
      <c r="U846" s="3">
        <v>328020.97500000003</v>
      </c>
      <c r="V846" s="3">
        <v>61944.5</v>
      </c>
      <c r="W846" s="3">
        <v>133770.61250000002</v>
      </c>
      <c r="X846" s="3">
        <v>-1605164.1174999997</v>
      </c>
      <c r="Y846" s="3">
        <v>848784.72202625009</v>
      </c>
      <c r="Z846" s="3">
        <v>1916402.2597833329</v>
      </c>
      <c r="AA846" s="3">
        <v>-1067617.5377570826</v>
      </c>
      <c r="AB846" s="3">
        <v>532856.25</v>
      </c>
      <c r="AC846" s="3">
        <v>199539.5</v>
      </c>
      <c r="AD846" s="3">
        <v>333316.75</v>
      </c>
      <c r="AE846" s="3">
        <v>-2339464.9052570825</v>
      </c>
      <c r="AF846" s="3">
        <v>0</v>
      </c>
      <c r="AG846" s="3">
        <v>-2339464.9052570825</v>
      </c>
      <c r="AH846" s="3">
        <v>-2339464.9052570825</v>
      </c>
      <c r="AI846" s="3">
        <v>35003895190.599998</v>
      </c>
      <c r="AJ846" s="3">
        <v>375000</v>
      </c>
    </row>
    <row r="847" spans="1:36" x14ac:dyDescent="0.2">
      <c r="A847" s="3" t="s">
        <v>75</v>
      </c>
      <c r="B847" s="3" t="s">
        <v>76</v>
      </c>
      <c r="C847" s="3" t="s">
        <v>77</v>
      </c>
      <c r="D847" s="3">
        <v>2</v>
      </c>
      <c r="E847" s="3">
        <v>2023</v>
      </c>
      <c r="F847" s="3">
        <v>1</v>
      </c>
      <c r="G847" s="3" t="s">
        <v>39</v>
      </c>
      <c r="H847" s="3" t="s">
        <v>40</v>
      </c>
      <c r="I847" s="5">
        <v>11221969919.630001</v>
      </c>
      <c r="J847" s="3">
        <v>0</v>
      </c>
      <c r="K847" s="3">
        <v>11221969919.630001</v>
      </c>
      <c r="L847" s="3">
        <v>11216272326.968</v>
      </c>
      <c r="M847" s="3">
        <v>5697592.6619999995</v>
      </c>
      <c r="N847" s="3">
        <v>1854285.3064999999</v>
      </c>
      <c r="O847" s="3">
        <f t="shared" si="14"/>
        <v>1.6523705907074266E-2</v>
      </c>
      <c r="P847" s="3">
        <v>99750</v>
      </c>
      <c r="Q847" s="3">
        <v>317876.30799999996</v>
      </c>
      <c r="R847" s="3">
        <v>629332.18349999993</v>
      </c>
      <c r="S847" s="3">
        <v>0</v>
      </c>
      <c r="T847" s="3">
        <v>99615.024000000005</v>
      </c>
      <c r="U847" s="3">
        <v>631717.35800000001</v>
      </c>
      <c r="V847" s="3">
        <v>75994.433000000005</v>
      </c>
      <c r="W847" s="3">
        <v>0</v>
      </c>
      <c r="X847" s="3">
        <v>3843307.3554999991</v>
      </c>
      <c r="Y847" s="3">
        <v>707646.02157163888</v>
      </c>
      <c r="Z847" s="3">
        <v>441981.95199999993</v>
      </c>
      <c r="AA847" s="3">
        <v>265664.06957163895</v>
      </c>
      <c r="AB847" s="3">
        <v>17528.830000000002</v>
      </c>
      <c r="AC847" s="3">
        <v>2176047.7889999999</v>
      </c>
      <c r="AD847" s="3">
        <v>-2158518.9589999998</v>
      </c>
      <c r="AE847" s="3">
        <v>1950452.4660716387</v>
      </c>
      <c r="AF847" s="3">
        <v>0</v>
      </c>
      <c r="AG847" s="3">
        <v>1950452.4660716387</v>
      </c>
      <c r="AH847" s="3">
        <v>1950452.4660716387</v>
      </c>
      <c r="AI847" s="3">
        <v>11222811049.630016</v>
      </c>
      <c r="AJ847" s="3">
        <v>458660</v>
      </c>
    </row>
    <row r="848" spans="1:36" x14ac:dyDescent="0.2">
      <c r="A848" s="3" t="s">
        <v>75</v>
      </c>
      <c r="B848" s="3" t="s">
        <v>76</v>
      </c>
      <c r="C848" s="3" t="s">
        <v>119</v>
      </c>
      <c r="D848" s="3">
        <v>1</v>
      </c>
      <c r="E848" s="3">
        <v>2023</v>
      </c>
      <c r="F848" s="3">
        <v>1</v>
      </c>
      <c r="G848" s="3" t="s">
        <v>42</v>
      </c>
      <c r="H848" s="3" t="s">
        <v>46</v>
      </c>
      <c r="I848" s="5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 t="e">
        <f t="shared" si="14"/>
        <v>#DIV/0!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255000</v>
      </c>
      <c r="AJ848" s="3">
        <v>0</v>
      </c>
    </row>
    <row r="849" spans="1:36" x14ac:dyDescent="0.2">
      <c r="A849" s="3" t="s">
        <v>75</v>
      </c>
      <c r="B849" s="3" t="s">
        <v>76</v>
      </c>
      <c r="C849" s="3" t="s">
        <v>119</v>
      </c>
      <c r="D849" s="3">
        <v>1</v>
      </c>
      <c r="E849" s="3">
        <v>2023</v>
      </c>
      <c r="F849" s="3">
        <v>1</v>
      </c>
      <c r="G849" s="3" t="s">
        <v>42</v>
      </c>
      <c r="H849" s="3" t="s">
        <v>40</v>
      </c>
      <c r="I849" s="5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 t="e">
        <f t="shared" si="14"/>
        <v>#DIV/0!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s="3">
        <v>0</v>
      </c>
    </row>
    <row r="850" spans="1:36" x14ac:dyDescent="0.2">
      <c r="A850" s="3" t="s">
        <v>75</v>
      </c>
      <c r="B850" s="3" t="s">
        <v>76</v>
      </c>
      <c r="C850" s="3" t="s">
        <v>119</v>
      </c>
      <c r="D850" s="3">
        <v>1</v>
      </c>
      <c r="E850" s="3">
        <v>2023</v>
      </c>
      <c r="F850" s="3">
        <v>1</v>
      </c>
      <c r="G850" s="3" t="s">
        <v>48</v>
      </c>
      <c r="H850" s="3" t="s">
        <v>40</v>
      </c>
      <c r="I850" s="5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 t="e">
        <f t="shared" si="14"/>
        <v>#DIV/0!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</row>
    <row r="851" spans="1:36" x14ac:dyDescent="0.2">
      <c r="A851" s="3" t="s">
        <v>75</v>
      </c>
      <c r="B851" s="3" t="s">
        <v>76</v>
      </c>
      <c r="C851" s="3" t="s">
        <v>119</v>
      </c>
      <c r="D851" s="3">
        <v>1</v>
      </c>
      <c r="E851" s="3">
        <v>2023</v>
      </c>
      <c r="F851" s="3">
        <v>1</v>
      </c>
      <c r="G851" s="3" t="s">
        <v>39</v>
      </c>
      <c r="H851" s="3" t="s">
        <v>46</v>
      </c>
      <c r="I851" s="5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 t="e">
        <f t="shared" si="14"/>
        <v>#DIV/0!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3">
        <v>0</v>
      </c>
    </row>
    <row r="852" spans="1:36" x14ac:dyDescent="0.2">
      <c r="A852" s="3" t="s">
        <v>75</v>
      </c>
      <c r="B852" s="3" t="s">
        <v>76</v>
      </c>
      <c r="C852" s="3" t="s">
        <v>119</v>
      </c>
      <c r="D852" s="3">
        <v>1</v>
      </c>
      <c r="E852" s="3">
        <v>2023</v>
      </c>
      <c r="F852" s="3">
        <v>1</v>
      </c>
      <c r="G852" s="3" t="s">
        <v>39</v>
      </c>
      <c r="H852" s="3" t="s">
        <v>40</v>
      </c>
      <c r="I852" s="5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 t="e">
        <f t="shared" si="14"/>
        <v>#DIV/0!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</row>
    <row r="853" spans="1:36" x14ac:dyDescent="0.2">
      <c r="A853" s="3" t="s">
        <v>75</v>
      </c>
      <c r="B853" s="3" t="s">
        <v>76</v>
      </c>
      <c r="C853" s="3" t="s">
        <v>119</v>
      </c>
      <c r="D853" s="3">
        <v>2</v>
      </c>
      <c r="E853" s="3">
        <v>2023</v>
      </c>
      <c r="F853" s="3">
        <v>1</v>
      </c>
      <c r="G853" s="3" t="s">
        <v>42</v>
      </c>
      <c r="H853" s="3" t="s">
        <v>46</v>
      </c>
      <c r="I853" s="5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 t="e">
        <f t="shared" si="14"/>
        <v>#DIV/0!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680000</v>
      </c>
      <c r="AJ853" s="3">
        <v>0</v>
      </c>
    </row>
    <row r="854" spans="1:36" x14ac:dyDescent="0.2">
      <c r="A854" s="3" t="s">
        <v>75</v>
      </c>
      <c r="B854" s="3" t="s">
        <v>76</v>
      </c>
      <c r="C854" s="3" t="s">
        <v>119</v>
      </c>
      <c r="D854" s="3">
        <v>2</v>
      </c>
      <c r="E854" s="3">
        <v>2023</v>
      </c>
      <c r="F854" s="3">
        <v>1</v>
      </c>
      <c r="G854" s="3" t="s">
        <v>42</v>
      </c>
      <c r="H854" s="3" t="s">
        <v>40</v>
      </c>
      <c r="I854" s="5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 t="e">
        <f t="shared" si="14"/>
        <v>#DIV/0!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</row>
    <row r="855" spans="1:36" x14ac:dyDescent="0.2">
      <c r="A855" s="3" t="s">
        <v>75</v>
      </c>
      <c r="B855" s="3" t="s">
        <v>76</v>
      </c>
      <c r="C855" s="3" t="s">
        <v>119</v>
      </c>
      <c r="D855" s="3">
        <v>2</v>
      </c>
      <c r="E855" s="3">
        <v>2023</v>
      </c>
      <c r="F855" s="3">
        <v>1</v>
      </c>
      <c r="G855" s="3" t="s">
        <v>48</v>
      </c>
      <c r="H855" s="3" t="s">
        <v>40</v>
      </c>
      <c r="I855" s="5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 t="e">
        <f t="shared" si="14"/>
        <v>#DIV/0!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0</v>
      </c>
    </row>
    <row r="856" spans="1:36" x14ac:dyDescent="0.2">
      <c r="A856" s="3" t="s">
        <v>75</v>
      </c>
      <c r="B856" s="3" t="s">
        <v>76</v>
      </c>
      <c r="C856" s="3" t="s">
        <v>119</v>
      </c>
      <c r="D856" s="3">
        <v>2</v>
      </c>
      <c r="E856" s="3">
        <v>2023</v>
      </c>
      <c r="F856" s="3">
        <v>1</v>
      </c>
      <c r="G856" s="3" t="s">
        <v>39</v>
      </c>
      <c r="H856" s="3" t="s">
        <v>46</v>
      </c>
      <c r="I856" s="5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 t="e">
        <f t="shared" si="14"/>
        <v>#DIV/0!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</row>
    <row r="857" spans="1:36" x14ac:dyDescent="0.2">
      <c r="A857" s="3" t="s">
        <v>75</v>
      </c>
      <c r="B857" s="3" t="s">
        <v>76</v>
      </c>
      <c r="C857" s="3" t="s">
        <v>119</v>
      </c>
      <c r="D857" s="3">
        <v>2</v>
      </c>
      <c r="E857" s="3">
        <v>2023</v>
      </c>
      <c r="F857" s="3">
        <v>1</v>
      </c>
      <c r="G857" s="3" t="s">
        <v>39</v>
      </c>
      <c r="H857" s="3" t="s">
        <v>40</v>
      </c>
      <c r="I857" s="5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 t="e">
        <f t="shared" si="14"/>
        <v>#DIV/0!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</row>
    <row r="858" spans="1:36" x14ac:dyDescent="0.2">
      <c r="A858" s="3" t="s">
        <v>75</v>
      </c>
      <c r="B858" s="3" t="s">
        <v>76</v>
      </c>
      <c r="C858" s="3" t="s">
        <v>119</v>
      </c>
      <c r="D858" s="3">
        <v>3</v>
      </c>
      <c r="E858" s="3">
        <v>2023</v>
      </c>
      <c r="F858" s="3">
        <v>1</v>
      </c>
      <c r="G858" s="3" t="s">
        <v>42</v>
      </c>
      <c r="H858" s="3" t="s">
        <v>46</v>
      </c>
      <c r="I858" s="5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 t="e">
        <f t="shared" si="14"/>
        <v>#DIV/0!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s="3">
        <v>0</v>
      </c>
    </row>
    <row r="859" spans="1:36" x14ac:dyDescent="0.2">
      <c r="A859" s="3" t="s">
        <v>75</v>
      </c>
      <c r="B859" s="3" t="s">
        <v>76</v>
      </c>
      <c r="C859" s="3" t="s">
        <v>119</v>
      </c>
      <c r="D859" s="3">
        <v>3</v>
      </c>
      <c r="E859" s="3">
        <v>2023</v>
      </c>
      <c r="F859" s="3">
        <v>1</v>
      </c>
      <c r="G859" s="3" t="s">
        <v>42</v>
      </c>
      <c r="H859" s="3" t="s">
        <v>40</v>
      </c>
      <c r="I859" s="5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 t="e">
        <f t="shared" si="14"/>
        <v>#DIV/0!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  <c r="AJ859" s="3">
        <v>0</v>
      </c>
    </row>
    <row r="860" spans="1:36" x14ac:dyDescent="0.2">
      <c r="A860" s="3" t="s">
        <v>75</v>
      </c>
      <c r="B860" s="3" t="s">
        <v>76</v>
      </c>
      <c r="C860" s="3" t="s">
        <v>119</v>
      </c>
      <c r="D860" s="3">
        <v>3</v>
      </c>
      <c r="E860" s="3">
        <v>2023</v>
      </c>
      <c r="F860" s="3">
        <v>1</v>
      </c>
      <c r="G860" s="3" t="s">
        <v>48</v>
      </c>
      <c r="H860" s="3" t="s">
        <v>40</v>
      </c>
      <c r="I860" s="5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 t="e">
        <f t="shared" si="14"/>
        <v>#DIV/0!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</row>
    <row r="861" spans="1:36" x14ac:dyDescent="0.2">
      <c r="A861" s="3" t="s">
        <v>75</v>
      </c>
      <c r="B861" s="3" t="s">
        <v>76</v>
      </c>
      <c r="C861" s="3" t="s">
        <v>119</v>
      </c>
      <c r="D861" s="3">
        <v>3</v>
      </c>
      <c r="E861" s="3">
        <v>2023</v>
      </c>
      <c r="F861" s="3">
        <v>1</v>
      </c>
      <c r="G861" s="3" t="s">
        <v>39</v>
      </c>
      <c r="H861" s="3" t="s">
        <v>46</v>
      </c>
      <c r="I861" s="5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 t="e">
        <f t="shared" si="14"/>
        <v>#DIV/0!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</row>
    <row r="862" spans="1:36" x14ac:dyDescent="0.2">
      <c r="A862" s="3" t="s">
        <v>75</v>
      </c>
      <c r="B862" s="3" t="s">
        <v>76</v>
      </c>
      <c r="C862" s="3" t="s">
        <v>119</v>
      </c>
      <c r="D862" s="3">
        <v>3</v>
      </c>
      <c r="E862" s="3">
        <v>2023</v>
      </c>
      <c r="F862" s="3">
        <v>1</v>
      </c>
      <c r="G862" s="3" t="s">
        <v>39</v>
      </c>
      <c r="H862" s="3" t="s">
        <v>40</v>
      </c>
      <c r="I862" s="5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 t="e">
        <f t="shared" si="14"/>
        <v>#DIV/0!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</row>
    <row r="863" spans="1:36" x14ac:dyDescent="0.2">
      <c r="A863" s="3" t="s">
        <v>75</v>
      </c>
      <c r="B863" s="3" t="s">
        <v>76</v>
      </c>
      <c r="C863" s="3" t="s">
        <v>119</v>
      </c>
      <c r="D863" s="3">
        <v>1</v>
      </c>
      <c r="E863" s="3">
        <v>2023</v>
      </c>
      <c r="F863" s="3">
        <v>1</v>
      </c>
      <c r="G863" s="3" t="s">
        <v>48</v>
      </c>
      <c r="H863" s="3" t="s">
        <v>46</v>
      </c>
      <c r="I863" s="5">
        <v>1992600</v>
      </c>
      <c r="J863" s="3">
        <v>95184</v>
      </c>
      <c r="K863" s="3">
        <v>1897416</v>
      </c>
      <c r="L863" s="3">
        <v>1043368.5060000001</v>
      </c>
      <c r="M863" s="3">
        <v>854047.49399999995</v>
      </c>
      <c r="N863" s="3">
        <v>1517870.115</v>
      </c>
      <c r="O863" s="3">
        <f t="shared" si="14"/>
        <v>79.996696296436838</v>
      </c>
      <c r="P863" s="3">
        <v>197501.58</v>
      </c>
      <c r="Q863" s="3">
        <v>266498.79300000001</v>
      </c>
      <c r="R863" s="3">
        <v>829531.62</v>
      </c>
      <c r="S863" s="3">
        <v>80607.923999999999</v>
      </c>
      <c r="T863" s="3">
        <v>74051.478000000003</v>
      </c>
      <c r="U863" s="3">
        <v>0</v>
      </c>
      <c r="V863" s="3">
        <v>69678.720000000001</v>
      </c>
      <c r="W863" s="3">
        <v>0</v>
      </c>
      <c r="X863" s="3">
        <v>-663822.62100000004</v>
      </c>
      <c r="Y863" s="3">
        <v>220.71600000000004</v>
      </c>
      <c r="Z863" s="3">
        <v>117840.29093768503</v>
      </c>
      <c r="AA863" s="3">
        <v>-117619.57493768503</v>
      </c>
      <c r="AB863" s="3">
        <v>0</v>
      </c>
      <c r="AC863" s="3">
        <v>0</v>
      </c>
      <c r="AD863" s="3">
        <v>0</v>
      </c>
      <c r="AE863" s="3">
        <v>-781442.19593768485</v>
      </c>
      <c r="AF863" s="3">
        <v>0</v>
      </c>
      <c r="AG863" s="3">
        <v>-781442.19593768485</v>
      </c>
      <c r="AH863" s="3">
        <v>-781442.19593768485</v>
      </c>
      <c r="AI863" s="3">
        <v>6840000</v>
      </c>
      <c r="AJ863" s="3">
        <v>-90000</v>
      </c>
    </row>
    <row r="864" spans="1:36" x14ac:dyDescent="0.2">
      <c r="A864" s="3" t="s">
        <v>75</v>
      </c>
      <c r="B864" s="3" t="s">
        <v>76</v>
      </c>
      <c r="C864" s="3" t="s">
        <v>119</v>
      </c>
      <c r="D864" s="3">
        <v>3</v>
      </c>
      <c r="E864" s="3">
        <v>2023</v>
      </c>
      <c r="F864" s="3">
        <v>1</v>
      </c>
      <c r="G864" s="3" t="s">
        <v>48</v>
      </c>
      <c r="H864" s="3" t="s">
        <v>46</v>
      </c>
      <c r="I864" s="5">
        <v>2835952</v>
      </c>
      <c r="J864" s="3">
        <v>163936</v>
      </c>
      <c r="K864" s="3">
        <v>2672016</v>
      </c>
      <c r="L864" s="3">
        <v>1545632.656</v>
      </c>
      <c r="M864" s="3">
        <v>1126383.344</v>
      </c>
      <c r="N864" s="3">
        <v>1240484.872</v>
      </c>
      <c r="O864" s="3">
        <f t="shared" si="14"/>
        <v>46.42505404159256</v>
      </c>
      <c r="P864" s="3">
        <v>156245.848</v>
      </c>
      <c r="Q864" s="3">
        <v>240565.42400000003</v>
      </c>
      <c r="R864" s="3">
        <v>471070.11200000002</v>
      </c>
      <c r="S864" s="3">
        <v>38402.735999999997</v>
      </c>
      <c r="T864" s="3">
        <v>298114.75200000004</v>
      </c>
      <c r="U864" s="3">
        <v>0</v>
      </c>
      <c r="V864" s="3">
        <v>36086</v>
      </c>
      <c r="W864" s="3">
        <v>0</v>
      </c>
      <c r="X864" s="3">
        <v>-114101.52799999999</v>
      </c>
      <c r="Y864" s="3">
        <v>0</v>
      </c>
      <c r="Z864" s="3">
        <v>13914.016000000001</v>
      </c>
      <c r="AA864" s="3">
        <v>-13914.016000000001</v>
      </c>
      <c r="AB864" s="3">
        <v>0</v>
      </c>
      <c r="AC864" s="3">
        <v>0</v>
      </c>
      <c r="AD864" s="3">
        <v>0</v>
      </c>
      <c r="AE864" s="3">
        <v>-128015.54400000001</v>
      </c>
      <c r="AF864" s="3">
        <v>0</v>
      </c>
      <c r="AG864" s="3">
        <v>-128015.54400000001</v>
      </c>
      <c r="AH864" s="3">
        <v>-128015.54400000001</v>
      </c>
      <c r="AI864" s="3">
        <v>5120000</v>
      </c>
      <c r="AJ864" s="3">
        <v>0</v>
      </c>
    </row>
    <row r="865" spans="1:36" x14ac:dyDescent="0.2">
      <c r="A865" s="3" t="s">
        <v>75</v>
      </c>
      <c r="B865" s="3" t="s">
        <v>76</v>
      </c>
      <c r="C865" s="3" t="s">
        <v>119</v>
      </c>
      <c r="D865" s="3">
        <v>2</v>
      </c>
      <c r="E865" s="3">
        <v>2023</v>
      </c>
      <c r="F865" s="3">
        <v>1</v>
      </c>
      <c r="G865" s="3" t="s">
        <v>48</v>
      </c>
      <c r="H865" s="3" t="s">
        <v>46</v>
      </c>
      <c r="I865" s="5">
        <v>6314860</v>
      </c>
      <c r="J865" s="3">
        <v>487968</v>
      </c>
      <c r="K865" s="3">
        <v>5826892</v>
      </c>
      <c r="L865" s="3">
        <v>3328928.52</v>
      </c>
      <c r="M865" s="3">
        <v>2497963.48</v>
      </c>
      <c r="N865" s="3">
        <v>1422241.22</v>
      </c>
      <c r="O865" s="3">
        <f t="shared" si="14"/>
        <v>24.408230322442908</v>
      </c>
      <c r="P865" s="3">
        <v>195307.31</v>
      </c>
      <c r="Q865" s="3">
        <v>296109.77</v>
      </c>
      <c r="R865" s="3">
        <v>606503.16</v>
      </c>
      <c r="S865" s="3">
        <v>0</v>
      </c>
      <c r="T865" s="3">
        <v>228134.66</v>
      </c>
      <c r="U865" s="3">
        <v>0</v>
      </c>
      <c r="V865" s="3">
        <v>96186.319999999992</v>
      </c>
      <c r="W865" s="3">
        <v>0</v>
      </c>
      <c r="X865" s="3">
        <v>1075722.26</v>
      </c>
      <c r="Y865" s="3">
        <v>0</v>
      </c>
      <c r="Z865" s="3">
        <v>110196.29999999999</v>
      </c>
      <c r="AA865" s="3">
        <v>-110196.29999999999</v>
      </c>
      <c r="AB865" s="3">
        <v>0</v>
      </c>
      <c r="AC865" s="3">
        <v>0</v>
      </c>
      <c r="AD865" s="3">
        <v>0</v>
      </c>
      <c r="AE865" s="3">
        <v>965525.96000000008</v>
      </c>
      <c r="AF865" s="3">
        <v>0</v>
      </c>
      <c r="AG865" s="3">
        <v>965525.96000000008</v>
      </c>
      <c r="AH865" s="3">
        <v>965525.96000000008</v>
      </c>
      <c r="AI865" s="3">
        <v>9000000</v>
      </c>
      <c r="AJ865" s="3">
        <v>0</v>
      </c>
    </row>
    <row r="866" spans="1:36" x14ac:dyDescent="0.2">
      <c r="A866" s="3" t="s">
        <v>75</v>
      </c>
      <c r="B866" s="3" t="s">
        <v>78</v>
      </c>
      <c r="C866" s="3" t="s">
        <v>79</v>
      </c>
      <c r="D866" s="3">
        <v>1</v>
      </c>
      <c r="E866" s="3">
        <v>2023</v>
      </c>
      <c r="F866" s="3">
        <v>1</v>
      </c>
      <c r="G866" s="3" t="s">
        <v>48</v>
      </c>
      <c r="H866" s="3" t="s">
        <v>46</v>
      </c>
      <c r="I866" s="5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 t="e">
        <f t="shared" si="14"/>
        <v>#DIV/0!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v>0</v>
      </c>
    </row>
    <row r="867" spans="1:36" x14ac:dyDescent="0.2">
      <c r="A867" s="3" t="s">
        <v>75</v>
      </c>
      <c r="B867" s="3" t="s">
        <v>78</v>
      </c>
      <c r="C867" s="3" t="s">
        <v>79</v>
      </c>
      <c r="D867" s="3">
        <v>1</v>
      </c>
      <c r="E867" s="3">
        <v>2023</v>
      </c>
      <c r="F867" s="3">
        <v>1</v>
      </c>
      <c r="G867" s="3" t="s">
        <v>39</v>
      </c>
      <c r="H867" s="3" t="s">
        <v>46</v>
      </c>
      <c r="I867" s="5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 t="e">
        <f t="shared" si="14"/>
        <v>#DIV/0!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s="3">
        <v>0</v>
      </c>
    </row>
    <row r="868" spans="1:36" x14ac:dyDescent="0.2">
      <c r="A868" s="3" t="s">
        <v>75</v>
      </c>
      <c r="B868" s="3" t="s">
        <v>78</v>
      </c>
      <c r="C868" s="3" t="s">
        <v>79</v>
      </c>
      <c r="D868" s="3">
        <v>2</v>
      </c>
      <c r="E868" s="3">
        <v>2023</v>
      </c>
      <c r="F868" s="3">
        <v>1</v>
      </c>
      <c r="G868" s="3" t="s">
        <v>48</v>
      </c>
      <c r="H868" s="3" t="s">
        <v>46</v>
      </c>
      <c r="I868" s="5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 t="e">
        <f t="shared" si="14"/>
        <v>#DIV/0!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3">
        <v>0</v>
      </c>
    </row>
    <row r="869" spans="1:36" x14ac:dyDescent="0.2">
      <c r="A869" s="3" t="s">
        <v>75</v>
      </c>
      <c r="B869" s="3" t="s">
        <v>78</v>
      </c>
      <c r="C869" s="3" t="s">
        <v>79</v>
      </c>
      <c r="D869" s="3">
        <v>2</v>
      </c>
      <c r="E869" s="3">
        <v>2023</v>
      </c>
      <c r="F869" s="3">
        <v>1</v>
      </c>
      <c r="G869" s="3" t="s">
        <v>39</v>
      </c>
      <c r="H869" s="3" t="s">
        <v>46</v>
      </c>
      <c r="I869" s="5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 t="e">
        <f t="shared" si="14"/>
        <v>#DIV/0!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3">
        <v>0</v>
      </c>
    </row>
    <row r="870" spans="1:36" x14ac:dyDescent="0.2">
      <c r="A870" s="3" t="s">
        <v>75</v>
      </c>
      <c r="B870" s="3" t="s">
        <v>78</v>
      </c>
      <c r="C870" s="3" t="s">
        <v>79</v>
      </c>
      <c r="D870" s="3">
        <v>3</v>
      </c>
      <c r="E870" s="3">
        <v>2023</v>
      </c>
      <c r="F870" s="3">
        <v>1</v>
      </c>
      <c r="G870" s="3" t="s">
        <v>48</v>
      </c>
      <c r="H870" s="3" t="s">
        <v>46</v>
      </c>
      <c r="I870" s="5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 t="e">
        <f t="shared" si="14"/>
        <v>#DIV/0!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</row>
    <row r="871" spans="1:36" x14ac:dyDescent="0.2">
      <c r="A871" s="3" t="s">
        <v>75</v>
      </c>
      <c r="B871" s="3" t="s">
        <v>78</v>
      </c>
      <c r="C871" s="3" t="s">
        <v>79</v>
      </c>
      <c r="D871" s="3">
        <v>3</v>
      </c>
      <c r="E871" s="3">
        <v>2023</v>
      </c>
      <c r="F871" s="3">
        <v>1</v>
      </c>
      <c r="G871" s="3" t="s">
        <v>39</v>
      </c>
      <c r="H871" s="3" t="s">
        <v>46</v>
      </c>
      <c r="I871" s="5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 t="e">
        <f t="shared" si="14"/>
        <v>#DIV/0!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</row>
    <row r="872" spans="1:36" x14ac:dyDescent="0.2">
      <c r="A872" s="3" t="s">
        <v>75</v>
      </c>
      <c r="B872" s="3" t="s">
        <v>78</v>
      </c>
      <c r="C872" s="3" t="s">
        <v>80</v>
      </c>
      <c r="D872" s="3">
        <v>3</v>
      </c>
      <c r="E872" s="3">
        <v>2023</v>
      </c>
      <c r="F872" s="3">
        <v>1</v>
      </c>
      <c r="G872" s="3" t="s">
        <v>42</v>
      </c>
      <c r="H872" s="3" t="s">
        <v>46</v>
      </c>
      <c r="I872" s="5">
        <v>60040</v>
      </c>
      <c r="J872" s="3">
        <v>10032</v>
      </c>
      <c r="K872" s="3">
        <v>50008</v>
      </c>
      <c r="L872" s="3">
        <v>83633.724999999991</v>
      </c>
      <c r="M872" s="3">
        <v>-33625.725000000006</v>
      </c>
      <c r="N872" s="3">
        <v>385239.68092000007</v>
      </c>
      <c r="O872" s="3">
        <f t="shared" si="14"/>
        <v>770.35610486322207</v>
      </c>
      <c r="P872" s="3">
        <v>91200</v>
      </c>
      <c r="Q872" s="3">
        <v>111702.03645000001</v>
      </c>
      <c r="R872" s="3">
        <v>98881.700569999986</v>
      </c>
      <c r="S872" s="3">
        <v>17070.55</v>
      </c>
      <c r="T872" s="3">
        <v>15638.900000000001</v>
      </c>
      <c r="U872" s="3">
        <v>-3362.5725000000002</v>
      </c>
      <c r="V872" s="3">
        <v>54109.066399999996</v>
      </c>
      <c r="W872" s="3">
        <v>87961.026300000012</v>
      </c>
      <c r="X872" s="3">
        <v>-506826.43222000008</v>
      </c>
      <c r="Y872" s="3">
        <v>0</v>
      </c>
      <c r="Z872" s="3">
        <v>8554.8639999999996</v>
      </c>
      <c r="AA872" s="3">
        <v>-8554.8639999999996</v>
      </c>
      <c r="AB872" s="3">
        <v>0</v>
      </c>
      <c r="AC872" s="3">
        <v>0</v>
      </c>
      <c r="AD872" s="3">
        <v>0</v>
      </c>
      <c r="AE872" s="3">
        <v>-515381.29622000002</v>
      </c>
      <c r="AF872" s="3">
        <v>0</v>
      </c>
      <c r="AG872" s="3">
        <v>-515381.29622000002</v>
      </c>
      <c r="AH872" s="3">
        <v>-515381.29622000002</v>
      </c>
      <c r="AI872" s="3">
        <v>190000</v>
      </c>
      <c r="AJ872" s="3">
        <v>0</v>
      </c>
    </row>
    <row r="873" spans="1:36" x14ac:dyDescent="0.2">
      <c r="A873" s="3" t="s">
        <v>75</v>
      </c>
      <c r="B873" s="3" t="s">
        <v>78</v>
      </c>
      <c r="C873" s="3" t="s">
        <v>80</v>
      </c>
      <c r="D873" s="3">
        <v>1</v>
      </c>
      <c r="E873" s="3">
        <v>2023</v>
      </c>
      <c r="F873" s="3">
        <v>1</v>
      </c>
      <c r="G873" s="3" t="s">
        <v>42</v>
      </c>
      <c r="H873" s="3" t="s">
        <v>46</v>
      </c>
      <c r="I873" s="5">
        <v>101860</v>
      </c>
      <c r="J873" s="3">
        <v>5786</v>
      </c>
      <c r="K873" s="3">
        <v>96074</v>
      </c>
      <c r="L873" s="3">
        <v>64636.000000000015</v>
      </c>
      <c r="M873" s="3">
        <v>31438.000000000007</v>
      </c>
      <c r="N873" s="3">
        <v>378061.38446999999</v>
      </c>
      <c r="O873" s="3">
        <f t="shared" si="14"/>
        <v>393.51061106022439</v>
      </c>
      <c r="P873" s="3">
        <v>105600</v>
      </c>
      <c r="Q873" s="3">
        <v>118157.23447</v>
      </c>
      <c r="R873" s="3">
        <v>105117.65</v>
      </c>
      <c r="S873" s="3">
        <v>0</v>
      </c>
      <c r="T873" s="3">
        <v>4362.6000000000004</v>
      </c>
      <c r="U873" s="3">
        <v>3143.8</v>
      </c>
      <c r="V873" s="3">
        <v>41680.100000000006</v>
      </c>
      <c r="W873" s="3">
        <v>25581.459200000005</v>
      </c>
      <c r="X873" s="3">
        <v>-372204.84366999997</v>
      </c>
      <c r="Y873" s="3">
        <v>0</v>
      </c>
      <c r="Z873" s="3">
        <v>10886.062000000002</v>
      </c>
      <c r="AA873" s="3">
        <v>-10886.062000000002</v>
      </c>
      <c r="AB873" s="3">
        <v>0</v>
      </c>
      <c r="AC873" s="3">
        <v>0</v>
      </c>
      <c r="AD873" s="3">
        <v>0</v>
      </c>
      <c r="AE873" s="3">
        <v>-383090.90567000001</v>
      </c>
      <c r="AF873" s="3">
        <v>0</v>
      </c>
      <c r="AG873" s="3">
        <v>-383090.90567000001</v>
      </c>
      <c r="AH873" s="3">
        <v>-383090.90567000001</v>
      </c>
      <c r="AI873" s="3">
        <v>110000</v>
      </c>
      <c r="AJ873" s="3">
        <v>0</v>
      </c>
    </row>
    <row r="874" spans="1:36" x14ac:dyDescent="0.2">
      <c r="A874" s="3" t="s">
        <v>75</v>
      </c>
      <c r="B874" s="3" t="s">
        <v>78</v>
      </c>
      <c r="C874" s="3" t="s">
        <v>80</v>
      </c>
      <c r="D874" s="3">
        <v>2</v>
      </c>
      <c r="E874" s="3">
        <v>2023</v>
      </c>
      <c r="F874" s="3">
        <v>1</v>
      </c>
      <c r="G874" s="3" t="s">
        <v>42</v>
      </c>
      <c r="H874" s="3" t="s">
        <v>46</v>
      </c>
      <c r="I874" s="5">
        <v>204840</v>
      </c>
      <c r="J874" s="3">
        <v>10404</v>
      </c>
      <c r="K874" s="3">
        <v>194436</v>
      </c>
      <c r="L874" s="3">
        <v>116824.51800000001</v>
      </c>
      <c r="M874" s="3">
        <v>77611.482000000004</v>
      </c>
      <c r="N874" s="3">
        <v>358882.5258</v>
      </c>
      <c r="O874" s="3">
        <f t="shared" si="14"/>
        <v>184.57617200518425</v>
      </c>
      <c r="P874" s="3">
        <v>86400</v>
      </c>
      <c r="Q874" s="3">
        <v>103638.06270000001</v>
      </c>
      <c r="R874" s="3">
        <v>120736.45349999999</v>
      </c>
      <c r="S874" s="3">
        <v>0</v>
      </c>
      <c r="T874" s="3">
        <v>8236.7999999999993</v>
      </c>
      <c r="U874" s="3">
        <v>7761.1481999999996</v>
      </c>
      <c r="V874" s="3">
        <v>32110.061399999999</v>
      </c>
      <c r="W874" s="3">
        <v>64136.475900000005</v>
      </c>
      <c r="X874" s="3">
        <v>-345407.51969999995</v>
      </c>
      <c r="Y874" s="3">
        <v>0</v>
      </c>
      <c r="Z874" s="3">
        <v>8532.6840000000011</v>
      </c>
      <c r="AA874" s="3">
        <v>-8532.6840000000011</v>
      </c>
      <c r="AB874" s="3">
        <v>0</v>
      </c>
      <c r="AC874" s="3">
        <v>0</v>
      </c>
      <c r="AD874" s="3">
        <v>0</v>
      </c>
      <c r="AE874" s="3">
        <v>-353940.20369999995</v>
      </c>
      <c r="AF874" s="3">
        <v>0</v>
      </c>
      <c r="AG874" s="3">
        <v>-353940.20369999995</v>
      </c>
      <c r="AH874" s="3">
        <v>-353940.20369999995</v>
      </c>
      <c r="AI874" s="3">
        <v>270000</v>
      </c>
      <c r="AJ874" s="3">
        <v>0</v>
      </c>
    </row>
    <row r="875" spans="1:36" x14ac:dyDescent="0.2">
      <c r="A875" s="3" t="s">
        <v>75</v>
      </c>
      <c r="B875" s="3" t="s">
        <v>78</v>
      </c>
      <c r="C875" s="3" t="s">
        <v>80</v>
      </c>
      <c r="D875" s="3">
        <v>3</v>
      </c>
      <c r="E875" s="3">
        <v>2023</v>
      </c>
      <c r="F875" s="3">
        <v>1</v>
      </c>
      <c r="G875" s="3" t="s">
        <v>48</v>
      </c>
      <c r="H875" s="3" t="s">
        <v>46</v>
      </c>
      <c r="I875" s="5">
        <v>4669678</v>
      </c>
      <c r="J875" s="3">
        <v>297596</v>
      </c>
      <c r="K875" s="3">
        <v>4372082</v>
      </c>
      <c r="L875" s="3">
        <v>2569159.6579999998</v>
      </c>
      <c r="M875" s="3">
        <v>1802922.3420000002</v>
      </c>
      <c r="N875" s="3">
        <v>4552792.8823785</v>
      </c>
      <c r="O875" s="3">
        <f t="shared" si="14"/>
        <v>104.13329124152978</v>
      </c>
      <c r="P875" s="3">
        <v>873600</v>
      </c>
      <c r="Q875" s="3">
        <v>1069987.9280999999</v>
      </c>
      <c r="R875" s="3">
        <v>1117002.90546</v>
      </c>
      <c r="S875" s="3">
        <v>74091.576000000001</v>
      </c>
      <c r="T875" s="3">
        <v>700641.12541849969</v>
      </c>
      <c r="U875" s="3">
        <v>180292.23420000001</v>
      </c>
      <c r="V875" s="3">
        <v>537177.11320000002</v>
      </c>
      <c r="W875" s="3">
        <v>842574.04139999999</v>
      </c>
      <c r="X875" s="3">
        <v>-3592444.5817784993</v>
      </c>
      <c r="Y875" s="3">
        <v>403.26</v>
      </c>
      <c r="Z875" s="3">
        <v>568296.16999999993</v>
      </c>
      <c r="AA875" s="3">
        <v>-567892.90999999992</v>
      </c>
      <c r="AB875" s="3">
        <v>0</v>
      </c>
      <c r="AC875" s="3">
        <v>0</v>
      </c>
      <c r="AD875" s="3">
        <v>0</v>
      </c>
      <c r="AE875" s="3">
        <v>-4160337.4917784994</v>
      </c>
      <c r="AF875" s="3">
        <v>0</v>
      </c>
      <c r="AG875" s="3">
        <v>-4160337.4917784994</v>
      </c>
      <c r="AH875" s="3">
        <v>-4160337.4917784994</v>
      </c>
      <c r="AI875" s="3">
        <v>11700000</v>
      </c>
      <c r="AJ875" s="3">
        <v>0</v>
      </c>
    </row>
    <row r="876" spans="1:36" x14ac:dyDescent="0.2">
      <c r="A876" s="3" t="s">
        <v>75</v>
      </c>
      <c r="B876" s="3" t="s">
        <v>78</v>
      </c>
      <c r="C876" s="3" t="s">
        <v>80</v>
      </c>
      <c r="D876" s="3">
        <v>1</v>
      </c>
      <c r="E876" s="3">
        <v>2023</v>
      </c>
      <c r="F876" s="3">
        <v>1</v>
      </c>
      <c r="G876" s="3" t="s">
        <v>48</v>
      </c>
      <c r="H876" s="3" t="s">
        <v>46</v>
      </c>
      <c r="I876" s="5">
        <v>5406200</v>
      </c>
      <c r="J876" s="3">
        <v>415000</v>
      </c>
      <c r="K876" s="3">
        <v>4991200</v>
      </c>
      <c r="L876" s="3">
        <v>3026909.32</v>
      </c>
      <c r="M876" s="3">
        <v>1964290.68</v>
      </c>
      <c r="N876" s="3">
        <v>2855115.8876999998</v>
      </c>
      <c r="O876" s="3">
        <f t="shared" si="14"/>
        <v>57.202995025244427</v>
      </c>
      <c r="P876" s="3">
        <v>672000</v>
      </c>
      <c r="Q876" s="3">
        <v>693319.30969999998</v>
      </c>
      <c r="R876" s="3">
        <v>864646.62</v>
      </c>
      <c r="S876" s="3">
        <v>0</v>
      </c>
      <c r="T876" s="3">
        <v>163483.88999999998</v>
      </c>
      <c r="U876" s="3">
        <v>196429.068</v>
      </c>
      <c r="V876" s="3">
        <v>265237</v>
      </c>
      <c r="W876" s="3">
        <v>162791.10399999999</v>
      </c>
      <c r="X876" s="3">
        <v>-1053616.3117</v>
      </c>
      <c r="Y876" s="3">
        <v>2649.66</v>
      </c>
      <c r="Z876" s="3">
        <v>429226.01628902601</v>
      </c>
      <c r="AA876" s="3">
        <v>-426576.35628902598</v>
      </c>
      <c r="AB876" s="3">
        <v>0</v>
      </c>
      <c r="AC876" s="3">
        <v>0</v>
      </c>
      <c r="AD876" s="3">
        <v>0</v>
      </c>
      <c r="AE876" s="3">
        <v>-1480192.6679890256</v>
      </c>
      <c r="AF876" s="3">
        <v>0</v>
      </c>
      <c r="AG876" s="3">
        <v>-1480192.6679890256</v>
      </c>
      <c r="AH876" s="3">
        <v>-1480192.6679890256</v>
      </c>
      <c r="AI876" s="3">
        <v>10600000</v>
      </c>
      <c r="AJ876" s="3">
        <v>0</v>
      </c>
    </row>
    <row r="877" spans="1:36" x14ac:dyDescent="0.2">
      <c r="A877" s="3" t="s">
        <v>75</v>
      </c>
      <c r="B877" s="3" t="s">
        <v>78</v>
      </c>
      <c r="C877" s="3" t="s">
        <v>80</v>
      </c>
      <c r="D877" s="3">
        <v>3</v>
      </c>
      <c r="E877" s="3">
        <v>2023</v>
      </c>
      <c r="F877" s="3">
        <v>1</v>
      </c>
      <c r="G877" s="3" t="s">
        <v>39</v>
      </c>
      <c r="H877" s="3" t="s">
        <v>46</v>
      </c>
      <c r="I877" s="5">
        <v>6236050</v>
      </c>
      <c r="J877" s="3">
        <v>0</v>
      </c>
      <c r="K877" s="3">
        <v>6236050</v>
      </c>
      <c r="L877" s="3">
        <v>6407010</v>
      </c>
      <c r="M877" s="3">
        <v>-170960</v>
      </c>
      <c r="N877" s="3">
        <v>224599.18731668219</v>
      </c>
      <c r="O877" s="3">
        <f t="shared" si="14"/>
        <v>3.6016258259103471</v>
      </c>
      <c r="P877" s="3">
        <v>48000</v>
      </c>
      <c r="Q877" s="3">
        <v>58790.545500000007</v>
      </c>
      <c r="R877" s="3">
        <v>52043.0003</v>
      </c>
      <c r="S877" s="3">
        <v>1400</v>
      </c>
      <c r="T877" s="3">
        <v>52983.185516682133</v>
      </c>
      <c r="U877" s="3">
        <v>-17096</v>
      </c>
      <c r="V877" s="3">
        <v>28478.456000000002</v>
      </c>
      <c r="W877" s="3">
        <v>46295.277000000002</v>
      </c>
      <c r="X877" s="3">
        <v>-441854.46431668219</v>
      </c>
      <c r="Y877" s="3">
        <v>0</v>
      </c>
      <c r="Z877" s="3">
        <v>177654.22849550011</v>
      </c>
      <c r="AA877" s="3">
        <v>-177654.22849550011</v>
      </c>
      <c r="AB877" s="3">
        <v>0</v>
      </c>
      <c r="AC877" s="3">
        <v>0</v>
      </c>
      <c r="AD877" s="3">
        <v>0</v>
      </c>
      <c r="AE877" s="3">
        <v>-619508.69281218224</v>
      </c>
      <c r="AF877" s="3">
        <v>0</v>
      </c>
      <c r="AG877" s="3">
        <v>-619508.69281218224</v>
      </c>
      <c r="AH877" s="3">
        <v>-619508.69281218224</v>
      </c>
      <c r="AI877" s="3">
        <v>6422050</v>
      </c>
      <c r="AJ877" s="3">
        <v>-60000</v>
      </c>
    </row>
    <row r="878" spans="1:36" x14ac:dyDescent="0.2">
      <c r="A878" s="3" t="s">
        <v>75</v>
      </c>
      <c r="B878" s="3" t="s">
        <v>78</v>
      </c>
      <c r="C878" s="3" t="s">
        <v>80</v>
      </c>
      <c r="D878" s="3">
        <v>2</v>
      </c>
      <c r="E878" s="3">
        <v>2023</v>
      </c>
      <c r="F878" s="3">
        <v>1</v>
      </c>
      <c r="G878" s="3" t="s">
        <v>48</v>
      </c>
      <c r="H878" s="3" t="s">
        <v>46</v>
      </c>
      <c r="I878" s="5">
        <v>6313356</v>
      </c>
      <c r="J878" s="3">
        <v>191646</v>
      </c>
      <c r="K878" s="3">
        <v>6121710</v>
      </c>
      <c r="L878" s="3">
        <v>3955754.1660000002</v>
      </c>
      <c r="M878" s="3">
        <v>2165955.8339999998</v>
      </c>
      <c r="N878" s="3">
        <v>3764933.2432534033</v>
      </c>
      <c r="O878" s="3">
        <f t="shared" si="14"/>
        <v>61.501332850680669</v>
      </c>
      <c r="P878" s="3">
        <v>705600</v>
      </c>
      <c r="Q878" s="3">
        <v>846377.5120499999</v>
      </c>
      <c r="R878" s="3">
        <v>1221954.0322499999</v>
      </c>
      <c r="S878" s="3">
        <v>0</v>
      </c>
      <c r="T878" s="3">
        <v>512173.9474534035</v>
      </c>
      <c r="U878" s="3">
        <v>216595.5834</v>
      </c>
      <c r="V878" s="3">
        <v>262232.16810000001</v>
      </c>
      <c r="W878" s="3">
        <v>523781.21984999999</v>
      </c>
      <c r="X878" s="3">
        <v>-2122758.6291034031</v>
      </c>
      <c r="Y878" s="3">
        <v>329.7</v>
      </c>
      <c r="Z878" s="3">
        <v>435360.429</v>
      </c>
      <c r="AA878" s="3">
        <v>-435030.72899999999</v>
      </c>
      <c r="AB878" s="3">
        <v>0</v>
      </c>
      <c r="AC878" s="3">
        <v>0</v>
      </c>
      <c r="AD878" s="3">
        <v>0</v>
      </c>
      <c r="AE878" s="3">
        <v>-2557789.3581034029</v>
      </c>
      <c r="AF878" s="3">
        <v>0</v>
      </c>
      <c r="AG878" s="3">
        <v>-2557789.3581034029</v>
      </c>
      <c r="AH878" s="3">
        <v>-2557789.3581034029</v>
      </c>
      <c r="AI878" s="3">
        <v>12600000</v>
      </c>
      <c r="AJ878" s="3">
        <v>0</v>
      </c>
    </row>
    <row r="879" spans="1:36" x14ac:dyDescent="0.2">
      <c r="A879" s="3" t="s">
        <v>75</v>
      </c>
      <c r="B879" s="3" t="s">
        <v>78</v>
      </c>
      <c r="C879" s="3" t="s">
        <v>80</v>
      </c>
      <c r="D879" s="3">
        <v>2</v>
      </c>
      <c r="E879" s="3">
        <v>2023</v>
      </c>
      <c r="F879" s="3">
        <v>1</v>
      </c>
      <c r="G879" s="3" t="s">
        <v>39</v>
      </c>
      <c r="H879" s="3" t="s">
        <v>46</v>
      </c>
      <c r="I879" s="5">
        <v>32720811.5</v>
      </c>
      <c r="J879" s="3">
        <v>0</v>
      </c>
      <c r="K879" s="3">
        <v>32720811.5</v>
      </c>
      <c r="L879" s="3">
        <v>32620094</v>
      </c>
      <c r="M879" s="3">
        <v>100717.5</v>
      </c>
      <c r="N879" s="3">
        <v>165954.50138584338</v>
      </c>
      <c r="O879" s="3">
        <f t="shared" si="14"/>
        <v>0.50718333005232275</v>
      </c>
      <c r="P879" s="3">
        <v>31200</v>
      </c>
      <c r="Q879" s="3">
        <v>37424.855974999999</v>
      </c>
      <c r="R879" s="3">
        <v>43599.274875000003</v>
      </c>
      <c r="S879" s="3">
        <v>0</v>
      </c>
      <c r="T879" s="3">
        <v>32063.32058584339</v>
      </c>
      <c r="U879" s="3">
        <v>10071.75</v>
      </c>
      <c r="V879" s="3">
        <v>11595.299950000001</v>
      </c>
      <c r="W879" s="3">
        <v>23160.394075000004</v>
      </c>
      <c r="X879" s="3">
        <v>-88397.395460843385</v>
      </c>
      <c r="Y879" s="3">
        <v>0</v>
      </c>
      <c r="Z879" s="3">
        <v>103604.91108662501</v>
      </c>
      <c r="AA879" s="3">
        <v>-103604.91108662501</v>
      </c>
      <c r="AB879" s="3">
        <v>0</v>
      </c>
      <c r="AC879" s="3">
        <v>0</v>
      </c>
      <c r="AD879" s="3">
        <v>0</v>
      </c>
      <c r="AE879" s="3">
        <v>-192002.30654746841</v>
      </c>
      <c r="AF879" s="3">
        <v>0</v>
      </c>
      <c r="AG879" s="3">
        <v>-192002.30654746841</v>
      </c>
      <c r="AH879" s="3">
        <v>-192002.30654746841</v>
      </c>
      <c r="AI879" s="3">
        <v>30999286.5</v>
      </c>
      <c r="AJ879" s="3">
        <v>-39000</v>
      </c>
    </row>
    <row r="880" spans="1:36" x14ac:dyDescent="0.2">
      <c r="A880" s="3" t="s">
        <v>75</v>
      </c>
      <c r="B880" s="3" t="s">
        <v>78</v>
      </c>
      <c r="C880" s="3" t="s">
        <v>80</v>
      </c>
      <c r="D880" s="3">
        <v>1</v>
      </c>
      <c r="E880" s="3">
        <v>2023</v>
      </c>
      <c r="F880" s="3">
        <v>1</v>
      </c>
      <c r="G880" s="3" t="s">
        <v>39</v>
      </c>
      <c r="H880" s="3" t="s">
        <v>46</v>
      </c>
      <c r="I880" s="5">
        <v>115664310</v>
      </c>
      <c r="J880" s="3">
        <v>0</v>
      </c>
      <c r="K880" s="3">
        <v>115664310</v>
      </c>
      <c r="L880" s="3">
        <v>115606580</v>
      </c>
      <c r="M880" s="3">
        <v>57730</v>
      </c>
      <c r="N880" s="3">
        <v>172238.49350000001</v>
      </c>
      <c r="O880" s="3">
        <f t="shared" si="14"/>
        <v>0.1489123944110331</v>
      </c>
      <c r="P880" s="3">
        <v>48000</v>
      </c>
      <c r="Q880" s="3">
        <v>48825.303500000009</v>
      </c>
      <c r="R880" s="3">
        <v>47780.75</v>
      </c>
      <c r="S880" s="3">
        <v>0</v>
      </c>
      <c r="T880" s="3">
        <v>2913.94</v>
      </c>
      <c r="U880" s="3">
        <v>5773</v>
      </c>
      <c r="V880" s="3">
        <v>18945.5</v>
      </c>
      <c r="W880" s="3">
        <v>11627.936000000002</v>
      </c>
      <c r="X880" s="3">
        <v>-126136.42950000001</v>
      </c>
      <c r="Y880" s="3">
        <v>0</v>
      </c>
      <c r="Z880" s="3">
        <v>139130.10624749999</v>
      </c>
      <c r="AA880" s="3">
        <v>-139130.10624749999</v>
      </c>
      <c r="AB880" s="3">
        <v>0</v>
      </c>
      <c r="AC880" s="3">
        <v>0</v>
      </c>
      <c r="AD880" s="3">
        <v>0</v>
      </c>
      <c r="AE880" s="3">
        <v>-265266.53574749996</v>
      </c>
      <c r="AF880" s="3">
        <v>0</v>
      </c>
      <c r="AG880" s="3">
        <v>-265266.53574749996</v>
      </c>
      <c r="AH880" s="3">
        <v>-265266.53574749996</v>
      </c>
      <c r="AI880" s="3">
        <v>193069310</v>
      </c>
      <c r="AJ880" s="3">
        <v>-60000</v>
      </c>
    </row>
    <row r="881" spans="1:36" x14ac:dyDescent="0.2">
      <c r="A881" s="3" t="s">
        <v>75</v>
      </c>
      <c r="B881" s="3" t="s">
        <v>78</v>
      </c>
      <c r="C881" s="3" t="s">
        <v>120</v>
      </c>
      <c r="D881" s="3">
        <v>3</v>
      </c>
      <c r="E881" s="3">
        <v>2023</v>
      </c>
      <c r="F881" s="3">
        <v>1</v>
      </c>
      <c r="G881" s="3" t="s">
        <v>42</v>
      </c>
      <c r="H881" s="3" t="s">
        <v>46</v>
      </c>
      <c r="I881" s="5">
        <v>3960.0000000000005</v>
      </c>
      <c r="J881" s="3">
        <v>990.00000000000011</v>
      </c>
      <c r="K881" s="3">
        <v>2970</v>
      </c>
      <c r="L881" s="3">
        <v>2376</v>
      </c>
      <c r="M881" s="3">
        <v>594</v>
      </c>
      <c r="N881" s="3">
        <v>512883.58770000015</v>
      </c>
      <c r="O881" s="3">
        <f t="shared" si="14"/>
        <v>17268.807666666671</v>
      </c>
      <c r="P881" s="3">
        <v>143000.00000000003</v>
      </c>
      <c r="Q881" s="3">
        <v>129339.20010000003</v>
      </c>
      <c r="R881" s="3">
        <v>140980.18440000003</v>
      </c>
      <c r="S881" s="3">
        <v>22114.400000000001</v>
      </c>
      <c r="T881" s="3">
        <v>14737.800000000003</v>
      </c>
      <c r="U881" s="3">
        <v>59.400000000000013</v>
      </c>
      <c r="V881" s="3">
        <v>62652.603200000005</v>
      </c>
      <c r="W881" s="3">
        <v>69717.964800000016</v>
      </c>
      <c r="X881" s="3">
        <v>-582007.55250000011</v>
      </c>
      <c r="Y881" s="3">
        <v>0</v>
      </c>
      <c r="Z881" s="3">
        <v>9905.6540000000005</v>
      </c>
      <c r="AA881" s="3">
        <v>-9905.6540000000005</v>
      </c>
      <c r="AB881" s="3">
        <v>0</v>
      </c>
      <c r="AC881" s="3">
        <v>0</v>
      </c>
      <c r="AD881" s="3">
        <v>0</v>
      </c>
      <c r="AE881" s="3">
        <v>-591913.20650000009</v>
      </c>
      <c r="AF881" s="3">
        <v>0</v>
      </c>
      <c r="AG881" s="3">
        <v>-591913.20650000009</v>
      </c>
      <c r="AH881" s="3">
        <v>-591913.20650000009</v>
      </c>
      <c r="AI881" s="3">
        <v>220000</v>
      </c>
      <c r="AJ881" s="3">
        <v>0</v>
      </c>
    </row>
    <row r="882" spans="1:36" x14ac:dyDescent="0.2">
      <c r="A882" s="3" t="s">
        <v>75</v>
      </c>
      <c r="B882" s="3" t="s">
        <v>78</v>
      </c>
      <c r="C882" s="3" t="s">
        <v>120</v>
      </c>
      <c r="D882" s="3">
        <v>2</v>
      </c>
      <c r="E882" s="3">
        <v>2023</v>
      </c>
      <c r="F882" s="3">
        <v>1</v>
      </c>
      <c r="G882" s="3" t="s">
        <v>42</v>
      </c>
      <c r="H882" s="3" t="s">
        <v>46</v>
      </c>
      <c r="I882" s="5">
        <v>169680</v>
      </c>
      <c r="J882" s="3">
        <v>0</v>
      </c>
      <c r="K882" s="3">
        <v>169680</v>
      </c>
      <c r="L882" s="3">
        <v>101808</v>
      </c>
      <c r="M882" s="3">
        <v>67872</v>
      </c>
      <c r="N882" s="3">
        <v>445446.33120000002</v>
      </c>
      <c r="O882" s="3">
        <f t="shared" si="14"/>
        <v>262.52141159830268</v>
      </c>
      <c r="P882" s="3">
        <v>156000</v>
      </c>
      <c r="Q882" s="3">
        <v>117202.81799999998</v>
      </c>
      <c r="R882" s="3">
        <v>132408.3132</v>
      </c>
      <c r="S882" s="3">
        <v>0</v>
      </c>
      <c r="T882" s="3">
        <v>0</v>
      </c>
      <c r="U882" s="3">
        <v>6787.2000000000007</v>
      </c>
      <c r="V882" s="3">
        <v>33048</v>
      </c>
      <c r="W882" s="3">
        <v>85515.301200000016</v>
      </c>
      <c r="X882" s="3">
        <v>-463089.63240000006</v>
      </c>
      <c r="Y882" s="3">
        <v>0</v>
      </c>
      <c r="Z882" s="3">
        <v>11376.935999999998</v>
      </c>
      <c r="AA882" s="3">
        <v>-11376.935999999998</v>
      </c>
      <c r="AB882" s="3">
        <v>0</v>
      </c>
      <c r="AC882" s="3">
        <v>0</v>
      </c>
      <c r="AD882" s="3">
        <v>0</v>
      </c>
      <c r="AE882" s="3">
        <v>-474466.56840000005</v>
      </c>
      <c r="AF882" s="3">
        <v>0</v>
      </c>
      <c r="AG882" s="3">
        <v>-474466.56840000005</v>
      </c>
      <c r="AH882" s="3">
        <v>-474466.56840000005</v>
      </c>
      <c r="AI882" s="3">
        <v>360000</v>
      </c>
      <c r="AJ882" s="3">
        <v>0</v>
      </c>
    </row>
    <row r="883" spans="1:36" x14ac:dyDescent="0.2">
      <c r="A883" s="3" t="s">
        <v>75</v>
      </c>
      <c r="B883" s="3" t="s">
        <v>78</v>
      </c>
      <c r="C883" s="3" t="s">
        <v>120</v>
      </c>
      <c r="D883" s="3">
        <v>1</v>
      </c>
      <c r="E883" s="3">
        <v>2023</v>
      </c>
      <c r="F883" s="3">
        <v>1</v>
      </c>
      <c r="G883" s="3" t="s">
        <v>42</v>
      </c>
      <c r="H883" s="3" t="s">
        <v>46</v>
      </c>
      <c r="I883" s="5">
        <v>241017</v>
      </c>
      <c r="J883" s="3">
        <v>10234.999999999998</v>
      </c>
      <c r="K883" s="3">
        <v>230782</v>
      </c>
      <c r="L883" s="3">
        <v>144610.19999999998</v>
      </c>
      <c r="M883" s="3">
        <v>86171.8</v>
      </c>
      <c r="N883" s="3">
        <v>427977.25835499994</v>
      </c>
      <c r="O883" s="3">
        <f t="shared" si="14"/>
        <v>185.44655057803465</v>
      </c>
      <c r="P883" s="3">
        <v>149499.99999999997</v>
      </c>
      <c r="Q883" s="3">
        <v>123528.017855</v>
      </c>
      <c r="R883" s="3">
        <v>123266.51049999999</v>
      </c>
      <c r="S883" s="3">
        <v>0</v>
      </c>
      <c r="T883" s="3">
        <v>0</v>
      </c>
      <c r="U883" s="3">
        <v>8617.1799999999985</v>
      </c>
      <c r="V883" s="3">
        <v>23065.55</v>
      </c>
      <c r="W883" s="3">
        <v>30409.387900000002</v>
      </c>
      <c r="X883" s="3">
        <v>-372214.84625499992</v>
      </c>
      <c r="Y883" s="3">
        <v>0</v>
      </c>
      <c r="Z883" s="3">
        <v>11380.905999999997</v>
      </c>
      <c r="AA883" s="3">
        <v>-11380.905999999997</v>
      </c>
      <c r="AB883" s="3">
        <v>0</v>
      </c>
      <c r="AC883" s="3">
        <v>0</v>
      </c>
      <c r="AD883" s="3">
        <v>0</v>
      </c>
      <c r="AE883" s="3">
        <v>-383595.75225499994</v>
      </c>
      <c r="AF883" s="3">
        <v>0</v>
      </c>
      <c r="AG883" s="3">
        <v>-383595.75225499994</v>
      </c>
      <c r="AH883" s="3">
        <v>-383595.75225499994</v>
      </c>
      <c r="AI883" s="3">
        <v>115000</v>
      </c>
      <c r="AJ883" s="3">
        <v>0</v>
      </c>
    </row>
    <row r="884" spans="1:36" x14ac:dyDescent="0.2">
      <c r="A884" s="3" t="s">
        <v>75</v>
      </c>
      <c r="B884" s="3" t="s">
        <v>78</v>
      </c>
      <c r="C884" s="3" t="s">
        <v>120</v>
      </c>
      <c r="D884" s="3">
        <v>1</v>
      </c>
      <c r="E884" s="3">
        <v>2023</v>
      </c>
      <c r="F884" s="3">
        <v>1</v>
      </c>
      <c r="G884" s="3" t="s">
        <v>48</v>
      </c>
      <c r="H884" s="3" t="s">
        <v>46</v>
      </c>
      <c r="I884" s="5">
        <v>4738804</v>
      </c>
      <c r="J884" s="3">
        <v>216272</v>
      </c>
      <c r="K884" s="3">
        <v>4522532</v>
      </c>
      <c r="L884" s="3">
        <v>2639454.2439999995</v>
      </c>
      <c r="M884" s="3">
        <v>1883077.7560000001</v>
      </c>
      <c r="N884" s="3">
        <v>4143971.6691799997</v>
      </c>
      <c r="O884" s="3">
        <f t="shared" si="14"/>
        <v>91.629460425708416</v>
      </c>
      <c r="P884" s="3">
        <v>1273999.9999999998</v>
      </c>
      <c r="Q884" s="3">
        <v>970647.03358000005</v>
      </c>
      <c r="R884" s="3">
        <v>1324447.6139999998</v>
      </c>
      <c r="S884" s="3">
        <v>0</v>
      </c>
      <c r="T884" s="3">
        <v>190010.64599999998</v>
      </c>
      <c r="U884" s="3">
        <v>188307.77559999999</v>
      </c>
      <c r="V884" s="3">
        <v>196558.6</v>
      </c>
      <c r="W884" s="3">
        <v>259140.87079999998</v>
      </c>
      <c r="X884" s="3">
        <v>-2520034.7839799998</v>
      </c>
      <c r="Y884" s="3">
        <v>0</v>
      </c>
      <c r="Z884" s="3">
        <v>398967.24578783376</v>
      </c>
      <c r="AA884" s="3">
        <v>-398967.24578783376</v>
      </c>
      <c r="AB884" s="3">
        <v>0</v>
      </c>
      <c r="AC884" s="3">
        <v>0</v>
      </c>
      <c r="AD884" s="3">
        <v>0</v>
      </c>
      <c r="AE884" s="3">
        <v>-2919002.0297678332</v>
      </c>
      <c r="AF884" s="3">
        <v>0</v>
      </c>
      <c r="AG884" s="3">
        <v>-2919002.0297678332</v>
      </c>
      <c r="AH884" s="3">
        <v>-2919002.0297678332</v>
      </c>
      <c r="AI884" s="3">
        <v>16520000</v>
      </c>
      <c r="AJ884" s="3">
        <v>0</v>
      </c>
    </row>
    <row r="885" spans="1:36" x14ac:dyDescent="0.2">
      <c r="A885" s="3" t="s">
        <v>75</v>
      </c>
      <c r="B885" s="3" t="s">
        <v>78</v>
      </c>
      <c r="C885" s="3" t="s">
        <v>120</v>
      </c>
      <c r="D885" s="3">
        <v>3</v>
      </c>
      <c r="E885" s="3">
        <v>2023</v>
      </c>
      <c r="F885" s="3">
        <v>1</v>
      </c>
      <c r="G885" s="3" t="s">
        <v>48</v>
      </c>
      <c r="H885" s="3" t="s">
        <v>46</v>
      </c>
      <c r="I885" s="5">
        <v>7225542</v>
      </c>
      <c r="J885" s="3">
        <v>264062.99999999994</v>
      </c>
      <c r="K885" s="3">
        <v>6961479</v>
      </c>
      <c r="L885" s="3">
        <v>4192267.4079999998</v>
      </c>
      <c r="M885" s="3">
        <v>2769211.5920000002</v>
      </c>
      <c r="N885" s="3">
        <v>4240825.2230499992</v>
      </c>
      <c r="O885" s="3">
        <f t="shared" si="14"/>
        <v>60.918451711913505</v>
      </c>
      <c r="P885" s="3">
        <v>1046499.9999999999</v>
      </c>
      <c r="Q885" s="3">
        <v>946527.78254999989</v>
      </c>
      <c r="R885" s="3">
        <v>1181944.2721999998</v>
      </c>
      <c r="S885" s="3">
        <v>66494.793999999994</v>
      </c>
      <c r="T885" s="3">
        <v>263934.0735</v>
      </c>
      <c r="U885" s="3">
        <v>276921.15919999999</v>
      </c>
      <c r="V885" s="3">
        <v>458503.14159999997</v>
      </c>
      <c r="W885" s="3">
        <v>510208.74239999987</v>
      </c>
      <c r="X885" s="3">
        <v>-1981822.3734499998</v>
      </c>
      <c r="Y885" s="3">
        <v>356.73</v>
      </c>
      <c r="Z885" s="3">
        <v>305944.57875429199</v>
      </c>
      <c r="AA885" s="3">
        <v>-305587.848754292</v>
      </c>
      <c r="AB885" s="3">
        <v>0</v>
      </c>
      <c r="AC885" s="3">
        <v>0</v>
      </c>
      <c r="AD885" s="3">
        <v>0</v>
      </c>
      <c r="AE885" s="3">
        <v>-2287410.2222042917</v>
      </c>
      <c r="AF885" s="3">
        <v>0</v>
      </c>
      <c r="AG885" s="3">
        <v>-2287410.2222042917</v>
      </c>
      <c r="AH885" s="3">
        <v>-2287410.2222042917</v>
      </c>
      <c r="AI885" s="3">
        <v>11270000</v>
      </c>
      <c r="AJ885" s="3">
        <v>0</v>
      </c>
    </row>
    <row r="886" spans="1:36" x14ac:dyDescent="0.2">
      <c r="A886" s="3" t="s">
        <v>75</v>
      </c>
      <c r="B886" s="3" t="s">
        <v>78</v>
      </c>
      <c r="C886" s="3" t="s">
        <v>120</v>
      </c>
      <c r="D886" s="3">
        <v>2</v>
      </c>
      <c r="E886" s="3">
        <v>2023</v>
      </c>
      <c r="F886" s="3">
        <v>1</v>
      </c>
      <c r="G886" s="3" t="s">
        <v>48</v>
      </c>
      <c r="H886" s="3" t="s">
        <v>46</v>
      </c>
      <c r="I886" s="5">
        <v>12028690</v>
      </c>
      <c r="J886" s="3">
        <v>86802</v>
      </c>
      <c r="K886" s="3">
        <v>11941888</v>
      </c>
      <c r="L886" s="3">
        <v>9624083.9619999994</v>
      </c>
      <c r="M886" s="3">
        <v>2317804.0379999997</v>
      </c>
      <c r="N886" s="3">
        <v>2752152.7721777111</v>
      </c>
      <c r="O886" s="3">
        <f t="shared" si="14"/>
        <v>23.046211555306087</v>
      </c>
      <c r="P886" s="3">
        <v>773500</v>
      </c>
      <c r="Q886" s="3">
        <v>581130.63925000001</v>
      </c>
      <c r="R886" s="3">
        <v>847523.3269499999</v>
      </c>
      <c r="S886" s="3">
        <v>0</v>
      </c>
      <c r="T886" s="3">
        <v>154355.40217771145</v>
      </c>
      <c r="U886" s="3">
        <v>231780.40379999997</v>
      </c>
      <c r="V886" s="3">
        <v>163863</v>
      </c>
      <c r="W886" s="3">
        <v>424013.36844999995</v>
      </c>
      <c r="X886" s="3">
        <v>-858362.10262771125</v>
      </c>
      <c r="Y886" s="3">
        <v>266.91700000000003</v>
      </c>
      <c r="Z886" s="3">
        <v>229822.62951404191</v>
      </c>
      <c r="AA886" s="3">
        <v>-229555.71251404192</v>
      </c>
      <c r="AB886" s="3">
        <v>0</v>
      </c>
      <c r="AC886" s="3">
        <v>0</v>
      </c>
      <c r="AD886" s="3">
        <v>0</v>
      </c>
      <c r="AE886" s="3">
        <v>-1087917.8151417531</v>
      </c>
      <c r="AF886" s="3">
        <v>0</v>
      </c>
      <c r="AG886" s="3">
        <v>-1087917.8151417531</v>
      </c>
      <c r="AH886" s="3">
        <v>-1087917.8151417531</v>
      </c>
      <c r="AI886" s="3">
        <v>11050000</v>
      </c>
      <c r="AJ886" s="3">
        <v>0</v>
      </c>
    </row>
    <row r="887" spans="1:36" x14ac:dyDescent="0.2">
      <c r="A887" s="3" t="s">
        <v>75</v>
      </c>
      <c r="B887" s="3" t="s">
        <v>78</v>
      </c>
      <c r="C887" s="3" t="s">
        <v>120</v>
      </c>
      <c r="D887" s="3">
        <v>1</v>
      </c>
      <c r="E887" s="3">
        <v>2023</v>
      </c>
      <c r="F887" s="3">
        <v>1</v>
      </c>
      <c r="G887" s="3" t="s">
        <v>39</v>
      </c>
      <c r="H887" s="3" t="s">
        <v>46</v>
      </c>
      <c r="I887" s="5">
        <v>37655910</v>
      </c>
      <c r="J887" s="3">
        <v>0</v>
      </c>
      <c r="K887" s="3">
        <v>37655910</v>
      </c>
      <c r="L887" s="3">
        <v>37625295</v>
      </c>
      <c r="M887" s="3">
        <v>30615</v>
      </c>
      <c r="N887" s="3">
        <v>269233.40775000001</v>
      </c>
      <c r="O887" s="3">
        <f t="shared" si="14"/>
        <v>0.71498314009673392</v>
      </c>
      <c r="P887" s="3">
        <v>97500</v>
      </c>
      <c r="Q887" s="3">
        <v>73237.955249999999</v>
      </c>
      <c r="R887" s="3">
        <v>80391.202499999999</v>
      </c>
      <c r="S887" s="3">
        <v>0</v>
      </c>
      <c r="T887" s="3">
        <v>0</v>
      </c>
      <c r="U887" s="3">
        <v>3061.5</v>
      </c>
      <c r="V887" s="3">
        <v>15042.75</v>
      </c>
      <c r="W887" s="3">
        <v>19832.209500000001</v>
      </c>
      <c r="X887" s="3">
        <v>-258450.61725000004</v>
      </c>
      <c r="Y887" s="3">
        <v>0</v>
      </c>
      <c r="Z887" s="3">
        <v>208695.15937124996</v>
      </c>
      <c r="AA887" s="3">
        <v>-208695.15937124996</v>
      </c>
      <c r="AB887" s="3">
        <v>0</v>
      </c>
      <c r="AC887" s="3">
        <v>0</v>
      </c>
      <c r="AD887" s="3">
        <v>0</v>
      </c>
      <c r="AE887" s="3">
        <v>-467145.77662125003</v>
      </c>
      <c r="AF887" s="3">
        <v>0</v>
      </c>
      <c r="AG887" s="3">
        <v>-467145.77662125003</v>
      </c>
      <c r="AH887" s="3">
        <v>-467145.77662125003</v>
      </c>
      <c r="AI887" s="3">
        <v>153763410</v>
      </c>
      <c r="AJ887" s="3">
        <v>-90000</v>
      </c>
    </row>
    <row r="888" spans="1:36" x14ac:dyDescent="0.2">
      <c r="A888" s="3" t="s">
        <v>75</v>
      </c>
      <c r="B888" s="3" t="s">
        <v>78</v>
      </c>
      <c r="C888" s="3" t="s">
        <v>120</v>
      </c>
      <c r="D888" s="3">
        <v>3</v>
      </c>
      <c r="E888" s="3">
        <v>2023</v>
      </c>
      <c r="F888" s="3">
        <v>1</v>
      </c>
      <c r="G888" s="3" t="s">
        <v>39</v>
      </c>
      <c r="H888" s="3" t="s">
        <v>46</v>
      </c>
      <c r="I888" s="5">
        <v>100197189</v>
      </c>
      <c r="J888" s="3">
        <v>0</v>
      </c>
      <c r="K888" s="3">
        <v>100197189</v>
      </c>
      <c r="L888" s="3">
        <v>100086772.5</v>
      </c>
      <c r="M888" s="3">
        <v>110416.5</v>
      </c>
      <c r="N888" s="3">
        <v>314184.01972500002</v>
      </c>
      <c r="O888" s="3">
        <f t="shared" si="14"/>
        <v>0.31356570265159833</v>
      </c>
      <c r="P888" s="3">
        <v>87750</v>
      </c>
      <c r="Q888" s="3">
        <v>79367.236425000025</v>
      </c>
      <c r="R888" s="3">
        <v>86510.567700000014</v>
      </c>
      <c r="S888" s="3">
        <v>2025</v>
      </c>
      <c r="T888" s="3">
        <v>9043.6500000000015</v>
      </c>
      <c r="U888" s="3">
        <v>11041.65</v>
      </c>
      <c r="V888" s="3">
        <v>38445.9156</v>
      </c>
      <c r="W888" s="3">
        <v>42781.478400000007</v>
      </c>
      <c r="X888" s="3">
        <v>-246548.99812499998</v>
      </c>
      <c r="Y888" s="3">
        <v>18.333000000000002</v>
      </c>
      <c r="Z888" s="3">
        <v>239833.20846892515</v>
      </c>
      <c r="AA888" s="3">
        <v>-239814.87546892514</v>
      </c>
      <c r="AB888" s="3">
        <v>0</v>
      </c>
      <c r="AC888" s="3">
        <v>21195</v>
      </c>
      <c r="AD888" s="3">
        <v>-21195</v>
      </c>
      <c r="AE888" s="3">
        <v>-507558.87359392515</v>
      </c>
      <c r="AF888" s="3">
        <v>0</v>
      </c>
      <c r="AG888" s="3">
        <v>-507558.87359392515</v>
      </c>
      <c r="AH888" s="3">
        <v>-507558.87359392515</v>
      </c>
      <c r="AI888" s="3">
        <v>100197189</v>
      </c>
      <c r="AJ888" s="3">
        <v>-81000.000000000015</v>
      </c>
    </row>
    <row r="889" spans="1:36" x14ac:dyDescent="0.2">
      <c r="A889" s="3" t="s">
        <v>75</v>
      </c>
      <c r="B889" s="3" t="s">
        <v>78</v>
      </c>
      <c r="C889" s="3" t="s">
        <v>120</v>
      </c>
      <c r="D889" s="3">
        <v>2</v>
      </c>
      <c r="E889" s="3">
        <v>2023</v>
      </c>
      <c r="F889" s="3">
        <v>1</v>
      </c>
      <c r="G889" s="3" t="s">
        <v>39</v>
      </c>
      <c r="H889" s="3" t="s">
        <v>46</v>
      </c>
      <c r="I889" s="5">
        <v>154662510</v>
      </c>
      <c r="J889" s="3">
        <v>0</v>
      </c>
      <c r="K889" s="3">
        <v>154662510</v>
      </c>
      <c r="L889" s="3">
        <v>154430925</v>
      </c>
      <c r="M889" s="3">
        <v>231585</v>
      </c>
      <c r="N889" s="3">
        <v>326089.71911786712</v>
      </c>
      <c r="O889" s="3">
        <f t="shared" si="14"/>
        <v>0.21083953643185221</v>
      </c>
      <c r="P889" s="3">
        <v>97500</v>
      </c>
      <c r="Q889" s="3">
        <v>73251.761249999996</v>
      </c>
      <c r="R889" s="3">
        <v>82755.195749999984</v>
      </c>
      <c r="S889" s="3">
        <v>0</v>
      </c>
      <c r="T889" s="3">
        <v>28769.262117867089</v>
      </c>
      <c r="U889" s="3">
        <v>23158.5</v>
      </c>
      <c r="V889" s="3">
        <v>20655</v>
      </c>
      <c r="W889" s="3">
        <v>53447.063249999999</v>
      </c>
      <c r="X889" s="3">
        <v>-147951.78236786716</v>
      </c>
      <c r="Y889" s="3">
        <v>0</v>
      </c>
      <c r="Z889" s="3">
        <v>239088.25635375001</v>
      </c>
      <c r="AA889" s="3">
        <v>-239088.25635375001</v>
      </c>
      <c r="AB889" s="3">
        <v>0</v>
      </c>
      <c r="AC889" s="3">
        <v>0</v>
      </c>
      <c r="AD889" s="3">
        <v>0</v>
      </c>
      <c r="AE889" s="3">
        <v>-387040.03872161719</v>
      </c>
      <c r="AF889" s="3">
        <v>0</v>
      </c>
      <c r="AG889" s="3">
        <v>-387040.03872161719</v>
      </c>
      <c r="AH889" s="3">
        <v>-387040.03872161719</v>
      </c>
      <c r="AI889" s="3">
        <v>154662510</v>
      </c>
      <c r="AJ889" s="3">
        <v>-90000</v>
      </c>
    </row>
    <row r="890" spans="1:36" x14ac:dyDescent="0.2">
      <c r="A890" s="3" t="s">
        <v>75</v>
      </c>
      <c r="B890" s="3" t="s">
        <v>121</v>
      </c>
      <c r="C890" s="3" t="s">
        <v>122</v>
      </c>
      <c r="D890" s="3">
        <v>3</v>
      </c>
      <c r="E890" s="3">
        <v>2023</v>
      </c>
      <c r="F890" s="3">
        <v>1</v>
      </c>
      <c r="G890" s="3" t="s">
        <v>42</v>
      </c>
      <c r="H890" s="3" t="s">
        <v>46</v>
      </c>
      <c r="I890" s="5">
        <v>42806</v>
      </c>
      <c r="J890" s="3">
        <v>0</v>
      </c>
      <c r="K890" s="3">
        <v>42806</v>
      </c>
      <c r="L890" s="3">
        <v>25683.600000000002</v>
      </c>
      <c r="M890" s="3">
        <v>17122.400000000001</v>
      </c>
      <c r="N890" s="3">
        <v>422720.99648999993</v>
      </c>
      <c r="O890" s="3">
        <f t="shared" si="14"/>
        <v>987.5274412231928</v>
      </c>
      <c r="P890" s="3">
        <v>121550</v>
      </c>
      <c r="Q890" s="3">
        <v>95466.78559</v>
      </c>
      <c r="R890" s="3">
        <v>106540.20699999999</v>
      </c>
      <c r="S890" s="3">
        <v>12884.300000000001</v>
      </c>
      <c r="T890" s="3">
        <v>4581.5</v>
      </c>
      <c r="U890" s="3">
        <v>1712.2399999999998</v>
      </c>
      <c r="V890" s="3">
        <v>79985.963900000002</v>
      </c>
      <c r="W890" s="3">
        <v>5258.9670000000015</v>
      </c>
      <c r="X890" s="3">
        <v>-410857.56349000003</v>
      </c>
      <c r="Y890" s="3">
        <v>0</v>
      </c>
      <c r="Z890" s="3">
        <v>10489.68</v>
      </c>
      <c r="AA890" s="3">
        <v>-10489.68</v>
      </c>
      <c r="AB890" s="3">
        <v>0</v>
      </c>
      <c r="AC890" s="3">
        <v>0</v>
      </c>
      <c r="AD890" s="3">
        <v>0</v>
      </c>
      <c r="AE890" s="3">
        <v>-421347.24348999996</v>
      </c>
      <c r="AF890" s="3">
        <v>0</v>
      </c>
      <c r="AG890" s="3">
        <v>-421347.24348999996</v>
      </c>
      <c r="AH890" s="3">
        <v>-421347.24348999996</v>
      </c>
      <c r="AI890" s="3">
        <v>0</v>
      </c>
      <c r="AJ890" s="3">
        <v>0</v>
      </c>
    </row>
    <row r="891" spans="1:36" x14ac:dyDescent="0.2">
      <c r="A891" s="3" t="s">
        <v>75</v>
      </c>
      <c r="B891" s="3" t="s">
        <v>121</v>
      </c>
      <c r="C891" s="3" t="s">
        <v>122</v>
      </c>
      <c r="D891" s="3">
        <v>2</v>
      </c>
      <c r="E891" s="3">
        <v>2023</v>
      </c>
      <c r="F891" s="3">
        <v>1</v>
      </c>
      <c r="G891" s="3" t="s">
        <v>42</v>
      </c>
      <c r="H891" s="3" t="s">
        <v>46</v>
      </c>
      <c r="I891" s="5">
        <v>57120</v>
      </c>
      <c r="J891" s="3">
        <v>0</v>
      </c>
      <c r="K891" s="3">
        <v>57120</v>
      </c>
      <c r="L891" s="3">
        <v>34272</v>
      </c>
      <c r="M891" s="3">
        <v>22848</v>
      </c>
      <c r="N891" s="3">
        <v>527078.16408000002</v>
      </c>
      <c r="O891" s="3">
        <f t="shared" si="14"/>
        <v>922.75588949579833</v>
      </c>
      <c r="P891" s="3">
        <v>171600</v>
      </c>
      <c r="Q891" s="3">
        <v>134776.63848000002</v>
      </c>
      <c r="R891" s="3">
        <v>164281.44</v>
      </c>
      <c r="S891" s="3">
        <v>4458.9023999999999</v>
      </c>
      <c r="T891" s="3">
        <v>0</v>
      </c>
      <c r="U891" s="3">
        <v>8618.880000000001</v>
      </c>
      <c r="V891" s="3">
        <v>43342.303200000009</v>
      </c>
      <c r="W891" s="3">
        <v>32904.959999999999</v>
      </c>
      <c r="X891" s="3">
        <v>-537135.12407999998</v>
      </c>
      <c r="Y891" s="3">
        <v>0</v>
      </c>
      <c r="Z891" s="3">
        <v>13366.823999999999</v>
      </c>
      <c r="AA891" s="3">
        <v>-13366.823999999999</v>
      </c>
      <c r="AB891" s="3">
        <v>0</v>
      </c>
      <c r="AC891" s="3">
        <v>0</v>
      </c>
      <c r="AD891" s="3">
        <v>0</v>
      </c>
      <c r="AE891" s="3">
        <v>-550501.94808000012</v>
      </c>
      <c r="AF891" s="3">
        <v>0</v>
      </c>
      <c r="AG891" s="3">
        <v>-550501.94808000012</v>
      </c>
      <c r="AH891" s="3">
        <v>-550501.94808000012</v>
      </c>
      <c r="AI891" s="3">
        <v>0</v>
      </c>
      <c r="AJ891" s="3">
        <v>0</v>
      </c>
    </row>
    <row r="892" spans="1:36" x14ac:dyDescent="0.2">
      <c r="A892" s="3" t="s">
        <v>75</v>
      </c>
      <c r="B892" s="3" t="s">
        <v>121</v>
      </c>
      <c r="C892" s="3" t="s">
        <v>122</v>
      </c>
      <c r="D892" s="3">
        <v>1</v>
      </c>
      <c r="E892" s="3">
        <v>2023</v>
      </c>
      <c r="F892" s="3">
        <v>1</v>
      </c>
      <c r="G892" s="3" t="s">
        <v>42</v>
      </c>
      <c r="H892" s="3" t="s">
        <v>46</v>
      </c>
      <c r="I892" s="5">
        <v>107736</v>
      </c>
      <c r="J892" s="3">
        <v>0</v>
      </c>
      <c r="K892" s="3">
        <v>107736</v>
      </c>
      <c r="L892" s="3">
        <v>53127.600000000006</v>
      </c>
      <c r="M892" s="3">
        <v>54608.4</v>
      </c>
      <c r="N892" s="3">
        <v>281644.12644000002</v>
      </c>
      <c r="O892" s="3">
        <f t="shared" si="14"/>
        <v>261.42062675428826</v>
      </c>
      <c r="P892" s="3">
        <v>85800</v>
      </c>
      <c r="Q892" s="3">
        <v>65360.640839999993</v>
      </c>
      <c r="R892" s="3">
        <v>83289.516000000003</v>
      </c>
      <c r="S892" s="3">
        <v>793.17599999999982</v>
      </c>
      <c r="T892" s="3">
        <v>3042</v>
      </c>
      <c r="U892" s="3">
        <v>5374.56</v>
      </c>
      <c r="V892" s="3">
        <v>37984.2336</v>
      </c>
      <c r="W892" s="3">
        <v>600</v>
      </c>
      <c r="X892" s="3">
        <v>-227635.72644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-227635.72644</v>
      </c>
      <c r="AF892" s="3">
        <v>0</v>
      </c>
      <c r="AG892" s="3">
        <v>-227635.72644</v>
      </c>
      <c r="AH892" s="3">
        <v>-227635.72644</v>
      </c>
      <c r="AI892" s="3">
        <v>0</v>
      </c>
      <c r="AJ892" s="3">
        <v>0</v>
      </c>
    </row>
    <row r="893" spans="1:36" x14ac:dyDescent="0.2">
      <c r="A893" s="3" t="s">
        <v>75</v>
      </c>
      <c r="B893" s="3" t="s">
        <v>121</v>
      </c>
      <c r="C893" s="3" t="s">
        <v>122</v>
      </c>
      <c r="D893" s="3">
        <v>2</v>
      </c>
      <c r="E893" s="3">
        <v>2023</v>
      </c>
      <c r="F893" s="3">
        <v>1</v>
      </c>
      <c r="G893" s="3" t="s">
        <v>48</v>
      </c>
      <c r="H893" s="3" t="s">
        <v>46</v>
      </c>
      <c r="I893" s="5">
        <v>2833038</v>
      </c>
      <c r="J893" s="3">
        <v>115167</v>
      </c>
      <c r="K893" s="3">
        <v>2717871</v>
      </c>
      <c r="L893" s="3">
        <v>1654727.9839999999</v>
      </c>
      <c r="M893" s="3">
        <v>1063143.0160000001</v>
      </c>
      <c r="N893" s="3">
        <v>2344093.9007694791</v>
      </c>
      <c r="O893" s="3">
        <f t="shared" si="14"/>
        <v>86.247430461912259</v>
      </c>
      <c r="P893" s="3">
        <v>650650</v>
      </c>
      <c r="Q893" s="3">
        <v>471207.71711000003</v>
      </c>
      <c r="R893" s="3">
        <v>622900.46</v>
      </c>
      <c r="S893" s="3">
        <v>16906.671600000001</v>
      </c>
      <c r="T893" s="3">
        <v>340744.25675947912</v>
      </c>
      <c r="U893" s="3">
        <v>63801.4</v>
      </c>
      <c r="V893" s="3">
        <v>177883.3953</v>
      </c>
      <c r="W893" s="3">
        <v>124764.64</v>
      </c>
      <c r="X893" s="3">
        <v>-1405715.5247694789</v>
      </c>
      <c r="Y893" s="3">
        <v>300.625</v>
      </c>
      <c r="Z893" s="3">
        <v>512923.00800000003</v>
      </c>
      <c r="AA893" s="3">
        <v>-512622.38300000003</v>
      </c>
      <c r="AB893" s="3">
        <v>6760</v>
      </c>
      <c r="AC893" s="3">
        <v>0</v>
      </c>
      <c r="AD893" s="3">
        <v>6760</v>
      </c>
      <c r="AE893" s="3">
        <v>-1911577.9077694793</v>
      </c>
      <c r="AF893" s="3">
        <v>0</v>
      </c>
      <c r="AG893" s="3">
        <v>-1911577.9077694793</v>
      </c>
      <c r="AH893" s="3">
        <v>-1911577.9077694793</v>
      </c>
      <c r="AI893" s="3">
        <v>7150000</v>
      </c>
      <c r="AJ893" s="3">
        <v>0</v>
      </c>
    </row>
    <row r="894" spans="1:36" x14ac:dyDescent="0.2">
      <c r="A894" s="3" t="s">
        <v>75</v>
      </c>
      <c r="B894" s="3" t="s">
        <v>121</v>
      </c>
      <c r="C894" s="3" t="s">
        <v>122</v>
      </c>
      <c r="D894" s="3">
        <v>1</v>
      </c>
      <c r="E894" s="3">
        <v>2023</v>
      </c>
      <c r="F894" s="3">
        <v>1</v>
      </c>
      <c r="G894" s="3" t="s">
        <v>48</v>
      </c>
      <c r="H894" s="3" t="s">
        <v>46</v>
      </c>
      <c r="I894" s="5">
        <v>3678087</v>
      </c>
      <c r="J894" s="3">
        <v>136626</v>
      </c>
      <c r="K894" s="3">
        <v>3541461</v>
      </c>
      <c r="L894" s="3">
        <v>2205247.4220000003</v>
      </c>
      <c r="M894" s="3">
        <v>1336213.578</v>
      </c>
      <c r="N894" s="3">
        <v>3618204.1112700002</v>
      </c>
      <c r="O894" s="3">
        <f t="shared" si="14"/>
        <v>102.16699015660487</v>
      </c>
      <c r="P894" s="3">
        <v>1051050</v>
      </c>
      <c r="Q894" s="3">
        <v>738278.14766999986</v>
      </c>
      <c r="R894" s="3">
        <v>999202.53299999994</v>
      </c>
      <c r="S894" s="3">
        <v>9716.405999999999</v>
      </c>
      <c r="T894" s="3">
        <v>288811.80300000001</v>
      </c>
      <c r="U894" s="3">
        <v>65838.36</v>
      </c>
      <c r="V894" s="3">
        <v>465306.86159999995</v>
      </c>
      <c r="W894" s="3">
        <v>14700</v>
      </c>
      <c r="X894" s="3">
        <v>-2296690.5332699995</v>
      </c>
      <c r="Y894" s="3">
        <v>254.58299999999997</v>
      </c>
      <c r="Z894" s="3">
        <v>781134.375</v>
      </c>
      <c r="AA894" s="3">
        <v>-780879.79200000002</v>
      </c>
      <c r="AB894" s="3">
        <v>7770</v>
      </c>
      <c r="AC894" s="3">
        <v>0</v>
      </c>
      <c r="AD894" s="3">
        <v>7770</v>
      </c>
      <c r="AE894" s="3">
        <v>-3069800.3252699994</v>
      </c>
      <c r="AF894" s="3">
        <v>0</v>
      </c>
      <c r="AG894" s="3">
        <v>-3069800.3252699994</v>
      </c>
      <c r="AH894" s="3">
        <v>-3069800.3252699994</v>
      </c>
      <c r="AI894" s="3">
        <v>11130000</v>
      </c>
      <c r="AJ894" s="3">
        <v>0</v>
      </c>
    </row>
    <row r="895" spans="1:36" x14ac:dyDescent="0.2">
      <c r="A895" s="3" t="s">
        <v>75</v>
      </c>
      <c r="B895" s="3" t="s">
        <v>121</v>
      </c>
      <c r="C895" s="3" t="s">
        <v>122</v>
      </c>
      <c r="D895" s="3">
        <v>3</v>
      </c>
      <c r="E895" s="3">
        <v>2023</v>
      </c>
      <c r="F895" s="3">
        <v>1</v>
      </c>
      <c r="G895" s="3" t="s">
        <v>48</v>
      </c>
      <c r="H895" s="3" t="s">
        <v>46</v>
      </c>
      <c r="I895" s="5">
        <v>6928992</v>
      </c>
      <c r="J895" s="3">
        <v>66022.600000000006</v>
      </c>
      <c r="K895" s="3">
        <v>6862969.3999999994</v>
      </c>
      <c r="L895" s="3">
        <v>4174413.5439999998</v>
      </c>
      <c r="M895" s="3">
        <v>2688555.8559999997</v>
      </c>
      <c r="N895" s="3">
        <v>6516053.9532116717</v>
      </c>
      <c r="O895" s="3">
        <f t="shared" si="14"/>
        <v>94.945111560772403</v>
      </c>
      <c r="P895" s="3">
        <v>1401400</v>
      </c>
      <c r="Q895" s="3">
        <v>1014908.9291599999</v>
      </c>
      <c r="R895" s="3">
        <v>1343232.1279999998</v>
      </c>
      <c r="S895" s="3">
        <v>78437.743999999992</v>
      </c>
      <c r="T895" s="3">
        <v>1526152.6628516722</v>
      </c>
      <c r="U895" s="3">
        <v>184391.33999999997</v>
      </c>
      <c r="V895" s="3">
        <v>967531.14919999987</v>
      </c>
      <c r="W895" s="3">
        <v>91567.896000000008</v>
      </c>
      <c r="X895" s="3">
        <v>-3919065.9932116722</v>
      </c>
      <c r="Y895" s="3">
        <v>616.39199999999994</v>
      </c>
      <c r="Z895" s="3">
        <v>1080941.5959999999</v>
      </c>
      <c r="AA895" s="3">
        <v>-1080325.2039999999</v>
      </c>
      <c r="AB895" s="3">
        <v>15400</v>
      </c>
      <c r="AC895" s="3">
        <v>0</v>
      </c>
      <c r="AD895" s="3">
        <v>15400</v>
      </c>
      <c r="AE895" s="3">
        <v>-4983991.1972116716</v>
      </c>
      <c r="AF895" s="3">
        <v>0</v>
      </c>
      <c r="AG895" s="3">
        <v>-4983991.1972116716</v>
      </c>
      <c r="AH895" s="3">
        <v>-4983991.1972116716</v>
      </c>
      <c r="AI895" s="3">
        <v>11200000</v>
      </c>
      <c r="AJ895" s="3">
        <v>0</v>
      </c>
    </row>
    <row r="896" spans="1:36" x14ac:dyDescent="0.2">
      <c r="A896" s="3" t="s">
        <v>75</v>
      </c>
      <c r="B896" s="3" t="s">
        <v>121</v>
      </c>
      <c r="C896" s="3" t="s">
        <v>122</v>
      </c>
      <c r="D896" s="3">
        <v>1</v>
      </c>
      <c r="E896" s="3">
        <v>2023</v>
      </c>
      <c r="F896" s="3">
        <v>1</v>
      </c>
      <c r="G896" s="3" t="s">
        <v>39</v>
      </c>
      <c r="H896" s="3" t="s">
        <v>46</v>
      </c>
      <c r="I896" s="5">
        <v>28615530</v>
      </c>
      <c r="J896" s="3">
        <v>0</v>
      </c>
      <c r="K896" s="3">
        <v>28615530</v>
      </c>
      <c r="L896" s="3">
        <v>28599342</v>
      </c>
      <c r="M896" s="3">
        <v>16188</v>
      </c>
      <c r="N896" s="3">
        <v>177229.53899999996</v>
      </c>
      <c r="O896" s="3">
        <f t="shared" ref="O896:O959" si="15">N896/K896*100</f>
        <v>0.6193473928317943</v>
      </c>
      <c r="P896" s="3">
        <v>42900</v>
      </c>
      <c r="Q896" s="3">
        <v>29709.3822</v>
      </c>
      <c r="R896" s="3">
        <v>40640.28</v>
      </c>
      <c r="S896" s="3">
        <v>396.58799999999991</v>
      </c>
      <c r="T896" s="3">
        <v>41903.891999999993</v>
      </c>
      <c r="U896" s="3">
        <v>2687.28</v>
      </c>
      <c r="V896" s="3">
        <v>18992.1168</v>
      </c>
      <c r="W896" s="3">
        <v>1200</v>
      </c>
      <c r="X896" s="3">
        <v>-162241.53899999999</v>
      </c>
      <c r="Y896" s="3">
        <v>465.82799999999997</v>
      </c>
      <c r="Z896" s="3">
        <v>128694.12120059998</v>
      </c>
      <c r="AA896" s="3">
        <v>-128228.29320059999</v>
      </c>
      <c r="AB896" s="3">
        <v>360</v>
      </c>
      <c r="AC896" s="3">
        <v>0</v>
      </c>
      <c r="AD896" s="3">
        <v>360</v>
      </c>
      <c r="AE896" s="3">
        <v>-290109.83220060001</v>
      </c>
      <c r="AF896" s="3">
        <v>0</v>
      </c>
      <c r="AG896" s="3">
        <v>-290109.83220060001</v>
      </c>
      <c r="AH896" s="3">
        <v>-290109.83220060001</v>
      </c>
      <c r="AI896" s="3">
        <v>56263530</v>
      </c>
      <c r="AJ896" s="3">
        <v>-144000</v>
      </c>
    </row>
    <row r="897" spans="1:36" x14ac:dyDescent="0.2">
      <c r="A897" s="3" t="s">
        <v>75</v>
      </c>
      <c r="B897" s="3" t="s">
        <v>121</v>
      </c>
      <c r="C897" s="3" t="s">
        <v>122</v>
      </c>
      <c r="D897" s="3">
        <v>2</v>
      </c>
      <c r="E897" s="3">
        <v>2023</v>
      </c>
      <c r="F897" s="3">
        <v>1</v>
      </c>
      <c r="G897" s="3" t="s">
        <v>39</v>
      </c>
      <c r="H897" s="3" t="s">
        <v>46</v>
      </c>
      <c r="I897" s="5">
        <v>38430120</v>
      </c>
      <c r="J897" s="3">
        <v>0</v>
      </c>
      <c r="K897" s="3">
        <v>38430120</v>
      </c>
      <c r="L897" s="3">
        <v>38309864</v>
      </c>
      <c r="M897" s="3">
        <v>120256</v>
      </c>
      <c r="N897" s="3">
        <v>241429.73801910266</v>
      </c>
      <c r="O897" s="3">
        <f t="shared" si="15"/>
        <v>0.62823050778686784</v>
      </c>
      <c r="P897" s="3">
        <v>57200</v>
      </c>
      <c r="Q897" s="3">
        <v>40841.405600000006</v>
      </c>
      <c r="R897" s="3">
        <v>54760.479999999996</v>
      </c>
      <c r="S897" s="3">
        <v>1486.3008000000002</v>
      </c>
      <c r="T897" s="3">
        <v>64991.38121910263</v>
      </c>
      <c r="U897" s="3">
        <v>2158.4</v>
      </c>
      <c r="V897" s="3">
        <v>19991.770400000001</v>
      </c>
      <c r="W897" s="3">
        <v>10968.320000000002</v>
      </c>
      <c r="X897" s="3">
        <v>-132142.05801910264</v>
      </c>
      <c r="Y897" s="3">
        <v>255.84</v>
      </c>
      <c r="Z897" s="3">
        <v>187300.77111111116</v>
      </c>
      <c r="AA897" s="3">
        <v>-187044.93111111113</v>
      </c>
      <c r="AB897" s="3">
        <v>0</v>
      </c>
      <c r="AC897" s="3">
        <v>960</v>
      </c>
      <c r="AD897" s="3">
        <v>-960</v>
      </c>
      <c r="AE897" s="3">
        <v>-320146.9891302138</v>
      </c>
      <c r="AF897" s="3">
        <v>0</v>
      </c>
      <c r="AG897" s="3">
        <v>-320146.9891302138</v>
      </c>
      <c r="AH897" s="3">
        <v>-320146.9891302138</v>
      </c>
      <c r="AI897" s="3">
        <v>20617112</v>
      </c>
      <c r="AJ897" s="3">
        <v>-192000</v>
      </c>
    </row>
    <row r="898" spans="1:36" x14ac:dyDescent="0.2">
      <c r="A898" s="3" t="s">
        <v>75</v>
      </c>
      <c r="B898" s="3" t="s">
        <v>121</v>
      </c>
      <c r="C898" s="3" t="s">
        <v>122</v>
      </c>
      <c r="D898" s="3">
        <v>3</v>
      </c>
      <c r="E898" s="3">
        <v>2023</v>
      </c>
      <c r="F898" s="3">
        <v>1</v>
      </c>
      <c r="G898" s="3" t="s">
        <v>39</v>
      </c>
      <c r="H898" s="3" t="s">
        <v>46</v>
      </c>
      <c r="I898" s="5">
        <v>51193766</v>
      </c>
      <c r="J898" s="3">
        <v>0</v>
      </c>
      <c r="K898" s="3">
        <v>51193766</v>
      </c>
      <c r="L898" s="3">
        <v>51133178</v>
      </c>
      <c r="M898" s="3">
        <v>60588</v>
      </c>
      <c r="N898" s="3">
        <v>353064.92424005608</v>
      </c>
      <c r="O898" s="3">
        <f t="shared" si="15"/>
        <v>0.6896639021244424</v>
      </c>
      <c r="P898" s="3">
        <v>60775</v>
      </c>
      <c r="Q898" s="3">
        <v>43393.993449999994</v>
      </c>
      <c r="R898" s="3">
        <v>145489.655</v>
      </c>
      <c r="S898" s="3">
        <v>1615</v>
      </c>
      <c r="T898" s="3">
        <v>55542.582840056013</v>
      </c>
      <c r="U898" s="3">
        <v>6255.7110000000002</v>
      </c>
      <c r="V898" s="3">
        <v>39992.981950000001</v>
      </c>
      <c r="W898" s="3">
        <v>4507.6859999999997</v>
      </c>
      <c r="X898" s="3">
        <v>-296984.610240056</v>
      </c>
      <c r="Y898" s="3">
        <v>5.762999999999999</v>
      </c>
      <c r="Z898" s="3">
        <v>205846.10644097222</v>
      </c>
      <c r="AA898" s="3">
        <v>-205840.34344097221</v>
      </c>
      <c r="AB898" s="3">
        <v>2040</v>
      </c>
      <c r="AC898" s="3">
        <v>3995</v>
      </c>
      <c r="AD898" s="3">
        <v>-1955</v>
      </c>
      <c r="AE898" s="3">
        <v>-504779.95368102822</v>
      </c>
      <c r="AF898" s="3">
        <v>0</v>
      </c>
      <c r="AG898" s="3">
        <v>-504779.95368102822</v>
      </c>
      <c r="AH898" s="3">
        <v>-504779.95368102822</v>
      </c>
      <c r="AI898" s="3">
        <v>51753270</v>
      </c>
      <c r="AJ898" s="3">
        <v>-204000</v>
      </c>
    </row>
    <row r="899" spans="1:36" x14ac:dyDescent="0.2">
      <c r="A899" s="3" t="s">
        <v>75</v>
      </c>
      <c r="B899" s="3" t="s">
        <v>123</v>
      </c>
      <c r="C899" s="3" t="s">
        <v>124</v>
      </c>
      <c r="D899" s="3">
        <v>3</v>
      </c>
      <c r="E899" s="3">
        <v>2023</v>
      </c>
      <c r="F899" s="3">
        <v>1</v>
      </c>
      <c r="G899" s="3" t="s">
        <v>42</v>
      </c>
      <c r="H899" s="3" t="s">
        <v>46</v>
      </c>
      <c r="I899" s="5">
        <v>328412</v>
      </c>
      <c r="J899" s="3">
        <v>46620</v>
      </c>
      <c r="K899" s="3">
        <v>281792</v>
      </c>
      <c r="L899" s="3">
        <v>197047.2</v>
      </c>
      <c r="M899" s="3">
        <v>84744.799999999988</v>
      </c>
      <c r="N899" s="3">
        <v>631766.23849230772</v>
      </c>
      <c r="O899" s="3">
        <f t="shared" si="15"/>
        <v>224.19594541090865</v>
      </c>
      <c r="P899" s="3">
        <v>186666.66759999996</v>
      </c>
      <c r="Q899" s="3">
        <v>75210.911999999982</v>
      </c>
      <c r="R899" s="3">
        <v>202653.54889230771</v>
      </c>
      <c r="S899" s="3">
        <v>104952.4</v>
      </c>
      <c r="T899" s="3">
        <v>7546</v>
      </c>
      <c r="U899" s="3">
        <v>8474.48</v>
      </c>
      <c r="V899" s="3">
        <v>46262.229999999996</v>
      </c>
      <c r="W899" s="3">
        <v>85532.792799999996</v>
      </c>
      <c r="X899" s="3">
        <v>-632554.23129230761</v>
      </c>
      <c r="Y899" s="3">
        <v>0</v>
      </c>
      <c r="Z899" s="3">
        <v>14931.42</v>
      </c>
      <c r="AA899" s="3">
        <v>-14931.42</v>
      </c>
      <c r="AB899" s="3">
        <v>0</v>
      </c>
      <c r="AC899" s="3">
        <v>0</v>
      </c>
      <c r="AD899" s="3">
        <v>0</v>
      </c>
      <c r="AE899" s="3">
        <v>-647485.65129230765</v>
      </c>
      <c r="AF899" s="3">
        <v>0</v>
      </c>
      <c r="AG899" s="3">
        <v>-647485.65129230765</v>
      </c>
      <c r="AH899" s="3">
        <v>-647485.65129230765</v>
      </c>
      <c r="AI899" s="3">
        <v>0</v>
      </c>
      <c r="AJ899" s="3">
        <v>0</v>
      </c>
    </row>
    <row r="900" spans="1:36" x14ac:dyDescent="0.2">
      <c r="A900" s="3" t="s">
        <v>75</v>
      </c>
      <c r="B900" s="3" t="s">
        <v>123</v>
      </c>
      <c r="C900" s="3" t="s">
        <v>124</v>
      </c>
      <c r="D900" s="3">
        <v>1</v>
      </c>
      <c r="E900" s="3">
        <v>2023</v>
      </c>
      <c r="F900" s="3">
        <v>1</v>
      </c>
      <c r="G900" s="3" t="s">
        <v>42</v>
      </c>
      <c r="H900" s="3" t="s">
        <v>46</v>
      </c>
      <c r="I900" s="5">
        <v>743250</v>
      </c>
      <c r="J900" s="3">
        <v>0</v>
      </c>
      <c r="K900" s="3">
        <v>743250</v>
      </c>
      <c r="L900" s="3">
        <v>360501.67500000005</v>
      </c>
      <c r="M900" s="3">
        <v>382748.32499999995</v>
      </c>
      <c r="N900" s="3">
        <v>546549.77194444451</v>
      </c>
      <c r="O900" s="3">
        <f t="shared" si="15"/>
        <v>73.535118996898021</v>
      </c>
      <c r="P900" s="3">
        <v>166666.66750000001</v>
      </c>
      <c r="Q900" s="3">
        <v>67152.600000000006</v>
      </c>
      <c r="R900" s="3">
        <v>202390.03944444447</v>
      </c>
      <c r="S900" s="3">
        <v>0</v>
      </c>
      <c r="T900" s="3">
        <v>4354.6825000000008</v>
      </c>
      <c r="U900" s="3">
        <v>38274.832500000004</v>
      </c>
      <c r="V900" s="3">
        <v>67710.95</v>
      </c>
      <c r="W900" s="3">
        <v>17368.035500000002</v>
      </c>
      <c r="X900" s="3">
        <v>-181169.48244444444</v>
      </c>
      <c r="Y900" s="3">
        <v>0</v>
      </c>
      <c r="Z900" s="3">
        <v>14814.1</v>
      </c>
      <c r="AA900" s="3">
        <v>-14814.1</v>
      </c>
      <c r="AB900" s="3">
        <v>0</v>
      </c>
      <c r="AC900" s="3">
        <v>0</v>
      </c>
      <c r="AD900" s="3">
        <v>0</v>
      </c>
      <c r="AE900" s="3">
        <v>-195983.58244444444</v>
      </c>
      <c r="AF900" s="3">
        <v>0</v>
      </c>
      <c r="AG900" s="3">
        <v>-195983.58244444444</v>
      </c>
      <c r="AH900" s="3">
        <v>-195983.58244444444</v>
      </c>
      <c r="AI900" s="3">
        <v>0</v>
      </c>
      <c r="AJ900" s="3">
        <v>0</v>
      </c>
    </row>
    <row r="901" spans="1:36" x14ac:dyDescent="0.2">
      <c r="A901" s="3" t="s">
        <v>75</v>
      </c>
      <c r="B901" s="3" t="s">
        <v>123</v>
      </c>
      <c r="C901" s="3" t="s">
        <v>124</v>
      </c>
      <c r="D901" s="3">
        <v>2</v>
      </c>
      <c r="E901" s="3">
        <v>2023</v>
      </c>
      <c r="F901" s="3">
        <v>1</v>
      </c>
      <c r="G901" s="3" t="s">
        <v>42</v>
      </c>
      <c r="H901" s="3" t="s">
        <v>46</v>
      </c>
      <c r="I901" s="5">
        <v>1309080</v>
      </c>
      <c r="J901" s="3">
        <v>0</v>
      </c>
      <c r="K901" s="3">
        <v>1309080</v>
      </c>
      <c r="L901" s="3">
        <v>785448</v>
      </c>
      <c r="M901" s="3">
        <v>523632</v>
      </c>
      <c r="N901" s="3">
        <v>649420.04399999988</v>
      </c>
      <c r="O901" s="3">
        <f t="shared" si="15"/>
        <v>49.608888990741576</v>
      </c>
      <c r="P901" s="3">
        <v>200000.00100000002</v>
      </c>
      <c r="Q901" s="3">
        <v>80583.12</v>
      </c>
      <c r="R901" s="3">
        <v>225964.08299999996</v>
      </c>
      <c r="S901" s="3">
        <v>0</v>
      </c>
      <c r="T901" s="3">
        <v>10395</v>
      </c>
      <c r="U901" s="3">
        <v>52363.199999999997</v>
      </c>
      <c r="V901" s="3">
        <v>80114.64</v>
      </c>
      <c r="W901" s="3">
        <v>29298.459000000003</v>
      </c>
      <c r="X901" s="3">
        <v>-155086.50299999991</v>
      </c>
      <c r="Y901" s="3">
        <v>0</v>
      </c>
      <c r="Z901" s="3">
        <v>16827.21</v>
      </c>
      <c r="AA901" s="3">
        <v>-16827.21</v>
      </c>
      <c r="AB901" s="3">
        <v>0</v>
      </c>
      <c r="AC901" s="3">
        <v>0</v>
      </c>
      <c r="AD901" s="3">
        <v>0</v>
      </c>
      <c r="AE901" s="3">
        <v>-171913.71299999987</v>
      </c>
      <c r="AF901" s="3">
        <v>0</v>
      </c>
      <c r="AG901" s="3">
        <v>-171913.71299999987</v>
      </c>
      <c r="AH901" s="3">
        <v>-171913.71299999987</v>
      </c>
      <c r="AI901" s="3">
        <v>0</v>
      </c>
      <c r="AJ901" s="3">
        <v>0</v>
      </c>
    </row>
    <row r="902" spans="1:36" x14ac:dyDescent="0.2">
      <c r="A902" s="3" t="s">
        <v>75</v>
      </c>
      <c r="B902" s="3" t="s">
        <v>123</v>
      </c>
      <c r="C902" s="3" t="s">
        <v>124</v>
      </c>
      <c r="D902" s="3">
        <v>1</v>
      </c>
      <c r="E902" s="3">
        <v>2023</v>
      </c>
      <c r="F902" s="3">
        <v>1</v>
      </c>
      <c r="G902" s="3" t="s">
        <v>48</v>
      </c>
      <c r="H902" s="3" t="s">
        <v>46</v>
      </c>
      <c r="I902" s="5">
        <v>1614327</v>
      </c>
      <c r="J902" s="3">
        <v>2629</v>
      </c>
      <c r="K902" s="3">
        <v>1611698</v>
      </c>
      <c r="L902" s="3">
        <v>992303.31200000003</v>
      </c>
      <c r="M902" s="3">
        <v>619394.68800000008</v>
      </c>
      <c r="N902" s="3">
        <v>2176756.3509450862</v>
      </c>
      <c r="O902" s="3">
        <f t="shared" si="15"/>
        <v>135.05981585539513</v>
      </c>
      <c r="P902" s="3">
        <v>513333.33590000001</v>
      </c>
      <c r="Q902" s="3">
        <v>415495.21200000006</v>
      </c>
      <c r="R902" s="3">
        <v>865597.61537333345</v>
      </c>
      <c r="S902" s="3">
        <v>0</v>
      </c>
      <c r="T902" s="3">
        <v>109870.22187175231</v>
      </c>
      <c r="U902" s="3">
        <v>61939.468800000017</v>
      </c>
      <c r="V902" s="3">
        <v>210520.49700000003</v>
      </c>
      <c r="W902" s="3">
        <v>53493.54933999999</v>
      </c>
      <c r="X902" s="3">
        <v>-1610855.2122850858</v>
      </c>
      <c r="Y902" s="3">
        <v>186.63700000000003</v>
      </c>
      <c r="Z902" s="3">
        <v>255264.36680990711</v>
      </c>
      <c r="AA902" s="3">
        <v>-255077.72980990709</v>
      </c>
      <c r="AB902" s="3">
        <v>3300</v>
      </c>
      <c r="AC902" s="3">
        <v>0</v>
      </c>
      <c r="AD902" s="3">
        <v>3300</v>
      </c>
      <c r="AE902" s="3">
        <v>-1862632.9420949933</v>
      </c>
      <c r="AF902" s="3">
        <v>0</v>
      </c>
      <c r="AG902" s="3">
        <v>-1862632.9420949933</v>
      </c>
      <c r="AH902" s="3">
        <v>-1862632.9420949933</v>
      </c>
      <c r="AI902" s="3">
        <v>5720000</v>
      </c>
      <c r="AJ902" s="3">
        <v>0</v>
      </c>
    </row>
    <row r="903" spans="1:36" x14ac:dyDescent="0.2">
      <c r="A903" s="3" t="s">
        <v>75</v>
      </c>
      <c r="B903" s="3" t="s">
        <v>123</v>
      </c>
      <c r="C903" s="3" t="s">
        <v>124</v>
      </c>
      <c r="D903" s="3">
        <v>2</v>
      </c>
      <c r="E903" s="3">
        <v>2023</v>
      </c>
      <c r="F903" s="3">
        <v>1</v>
      </c>
      <c r="G903" s="3" t="s">
        <v>48</v>
      </c>
      <c r="H903" s="3" t="s">
        <v>46</v>
      </c>
      <c r="I903" s="5">
        <v>12653340</v>
      </c>
      <c r="J903" s="3">
        <v>364532.49000000005</v>
      </c>
      <c r="K903" s="3">
        <v>12288807.51</v>
      </c>
      <c r="L903" s="3">
        <v>8367260.9789999994</v>
      </c>
      <c r="M903" s="3">
        <v>3921546.531</v>
      </c>
      <c r="N903" s="3">
        <v>4814637.6091799997</v>
      </c>
      <c r="O903" s="3">
        <f t="shared" si="15"/>
        <v>39.179046504407324</v>
      </c>
      <c r="P903" s="3">
        <v>980000.00489999994</v>
      </c>
      <c r="Q903" s="3">
        <v>908124.23100000015</v>
      </c>
      <c r="R903" s="3">
        <v>1623300.7681800006</v>
      </c>
      <c r="S903" s="3">
        <v>0</v>
      </c>
      <c r="T903" s="3">
        <v>518496.21600000001</v>
      </c>
      <c r="U903" s="3">
        <v>392154.6531</v>
      </c>
      <c r="V903" s="3">
        <v>392561.73600000003</v>
      </c>
      <c r="W903" s="3">
        <v>143562.4491</v>
      </c>
      <c r="X903" s="3">
        <v>-1036653.5272800003</v>
      </c>
      <c r="Y903" s="3">
        <v>2257.5420000000004</v>
      </c>
      <c r="Z903" s="3">
        <v>487129.60800000007</v>
      </c>
      <c r="AA903" s="3">
        <v>-484872.06600000005</v>
      </c>
      <c r="AB903" s="3">
        <v>24150</v>
      </c>
      <c r="AC903" s="3">
        <v>0</v>
      </c>
      <c r="AD903" s="3">
        <v>24150</v>
      </c>
      <c r="AE903" s="3">
        <v>-1497375.5932800001</v>
      </c>
      <c r="AF903" s="3">
        <v>0</v>
      </c>
      <c r="AG903" s="3">
        <v>-1497375.5932800001</v>
      </c>
      <c r="AH903" s="3">
        <v>-1497375.5932800001</v>
      </c>
      <c r="AI903" s="3">
        <v>12390000</v>
      </c>
      <c r="AJ903" s="3">
        <v>0</v>
      </c>
    </row>
    <row r="904" spans="1:36" x14ac:dyDescent="0.2">
      <c r="A904" s="3" t="s">
        <v>75</v>
      </c>
      <c r="B904" s="3" t="s">
        <v>123</v>
      </c>
      <c r="C904" s="3" t="s">
        <v>124</v>
      </c>
      <c r="D904" s="3">
        <v>3</v>
      </c>
      <c r="E904" s="3">
        <v>2023</v>
      </c>
      <c r="F904" s="3">
        <v>1</v>
      </c>
      <c r="G904" s="3" t="s">
        <v>48</v>
      </c>
      <c r="H904" s="3" t="s">
        <v>46</v>
      </c>
      <c r="I904" s="5">
        <v>19579710</v>
      </c>
      <c r="J904" s="3">
        <v>1075350</v>
      </c>
      <c r="K904" s="3">
        <v>18504360</v>
      </c>
      <c r="L904" s="3">
        <v>11876500.649999999</v>
      </c>
      <c r="M904" s="3">
        <v>6627859.3500000006</v>
      </c>
      <c r="N904" s="3">
        <v>7660317.0571384626</v>
      </c>
      <c r="O904" s="3">
        <f t="shared" si="15"/>
        <v>41.397362876308406</v>
      </c>
      <c r="P904" s="3">
        <v>1400000.0069999998</v>
      </c>
      <c r="Q904" s="3">
        <v>1297320.33</v>
      </c>
      <c r="R904" s="3">
        <v>1923993.1201384615</v>
      </c>
      <c r="S904" s="3">
        <v>97938.359999999986</v>
      </c>
      <c r="T904" s="3">
        <v>1921695.06</v>
      </c>
      <c r="U904" s="3">
        <v>662785.93500000006</v>
      </c>
      <c r="V904" s="3">
        <v>356584.245</v>
      </c>
      <c r="W904" s="3">
        <v>641495.946</v>
      </c>
      <c r="X904" s="3">
        <v>-1673953.6531384625</v>
      </c>
      <c r="Y904" s="3">
        <v>2596.62</v>
      </c>
      <c r="Z904" s="3">
        <v>507324.02999999997</v>
      </c>
      <c r="AA904" s="3">
        <v>-504727.41000000003</v>
      </c>
      <c r="AB904" s="3">
        <v>17100</v>
      </c>
      <c r="AC904" s="3">
        <v>0</v>
      </c>
      <c r="AD904" s="3">
        <v>17100</v>
      </c>
      <c r="AE904" s="3">
        <v>-2161581.0631384621</v>
      </c>
      <c r="AF904" s="3">
        <v>0</v>
      </c>
      <c r="AG904" s="3">
        <v>-2161581.0631384621</v>
      </c>
      <c r="AH904" s="3">
        <v>-2161581.0631384621</v>
      </c>
      <c r="AI904" s="3">
        <v>14700000</v>
      </c>
      <c r="AJ904" s="3">
        <v>0</v>
      </c>
    </row>
    <row r="905" spans="1:36" x14ac:dyDescent="0.2">
      <c r="A905" s="3" t="s">
        <v>75</v>
      </c>
      <c r="B905" s="3" t="s">
        <v>123</v>
      </c>
      <c r="C905" s="3" t="s">
        <v>124</v>
      </c>
      <c r="D905" s="3">
        <v>1</v>
      </c>
      <c r="E905" s="3">
        <v>2023</v>
      </c>
      <c r="F905" s="3">
        <v>1</v>
      </c>
      <c r="G905" s="3" t="s">
        <v>39</v>
      </c>
      <c r="H905" s="3" t="s">
        <v>46</v>
      </c>
      <c r="I905" s="5">
        <v>41939612</v>
      </c>
      <c r="J905" s="3">
        <v>26000</v>
      </c>
      <c r="K905" s="3">
        <v>41913612</v>
      </c>
      <c r="L905" s="3">
        <v>41860442</v>
      </c>
      <c r="M905" s="3">
        <v>53170</v>
      </c>
      <c r="N905" s="3">
        <v>142111.75515333336</v>
      </c>
      <c r="O905" s="3">
        <f t="shared" si="15"/>
        <v>0.3390587171378438</v>
      </c>
      <c r="P905" s="3">
        <v>43333.33355000001</v>
      </c>
      <c r="Q905" s="3">
        <v>31038.683000000001</v>
      </c>
      <c r="R905" s="3">
        <v>31572.846153333336</v>
      </c>
      <c r="S905" s="3">
        <v>11479.364000000001</v>
      </c>
      <c r="T905" s="3">
        <v>1765.6814500000005</v>
      </c>
      <c r="U905" s="3">
        <v>5317</v>
      </c>
      <c r="V905" s="3">
        <v>17604.847000000002</v>
      </c>
      <c r="W905" s="3">
        <v>4515.68923</v>
      </c>
      <c r="X905" s="3">
        <v>-93457.44438333335</v>
      </c>
      <c r="Y905" s="3">
        <v>113.529</v>
      </c>
      <c r="Z905" s="3">
        <v>130227.14523931674</v>
      </c>
      <c r="AA905" s="3">
        <v>-130113.61623931675</v>
      </c>
      <c r="AB905" s="3">
        <v>0</v>
      </c>
      <c r="AC905" s="3">
        <v>0</v>
      </c>
      <c r="AD905" s="3">
        <v>0</v>
      </c>
      <c r="AE905" s="3">
        <v>-223571.06062265008</v>
      </c>
      <c r="AF905" s="3">
        <v>0</v>
      </c>
      <c r="AG905" s="3">
        <v>-223571.06062265008</v>
      </c>
      <c r="AH905" s="3">
        <v>-223571.06062265008</v>
      </c>
      <c r="AI905" s="3">
        <v>116456197</v>
      </c>
      <c r="AJ905" s="3">
        <v>0</v>
      </c>
    </row>
    <row r="906" spans="1:36" x14ac:dyDescent="0.2">
      <c r="A906" s="3" t="s">
        <v>75</v>
      </c>
      <c r="B906" s="3" t="s">
        <v>123</v>
      </c>
      <c r="C906" s="3" t="s">
        <v>124</v>
      </c>
      <c r="D906" s="3">
        <v>2</v>
      </c>
      <c r="E906" s="3">
        <v>2023</v>
      </c>
      <c r="F906" s="3">
        <v>1</v>
      </c>
      <c r="G906" s="3" t="s">
        <v>39</v>
      </c>
      <c r="H906" s="3" t="s">
        <v>46</v>
      </c>
      <c r="I906" s="5">
        <v>133378943.49999997</v>
      </c>
      <c r="J906" s="3">
        <v>0</v>
      </c>
      <c r="K906" s="3">
        <v>133378943.49999997</v>
      </c>
      <c r="L906" s="3">
        <v>133162938.99999999</v>
      </c>
      <c r="M906" s="3">
        <v>216004.5</v>
      </c>
      <c r="N906" s="3">
        <v>318728.04713999998</v>
      </c>
      <c r="O906" s="3">
        <f t="shared" si="15"/>
        <v>0.23896429134633237</v>
      </c>
      <c r="P906" s="3">
        <v>76666.667049999989</v>
      </c>
      <c r="Q906" s="3">
        <v>54914.592999999993</v>
      </c>
      <c r="R906" s="3">
        <v>51971.739090000003</v>
      </c>
      <c r="S906" s="3">
        <v>20653.999999999996</v>
      </c>
      <c r="T906" s="3">
        <v>62209.985999999997</v>
      </c>
      <c r="U906" s="3">
        <v>21600.45</v>
      </c>
      <c r="V906" s="3">
        <v>30710.611999999997</v>
      </c>
      <c r="W906" s="3">
        <v>11231.075949999999</v>
      </c>
      <c r="X906" s="3">
        <v>-113954.62308999998</v>
      </c>
      <c r="Y906" s="3">
        <v>483.34499999999991</v>
      </c>
      <c r="Z906" s="3">
        <v>260068.97253472215</v>
      </c>
      <c r="AA906" s="3">
        <v>-259585.62753472215</v>
      </c>
      <c r="AB906" s="3">
        <v>0</v>
      </c>
      <c r="AC906" s="3">
        <v>0</v>
      </c>
      <c r="AD906" s="3">
        <v>0</v>
      </c>
      <c r="AE906" s="3">
        <v>-373540.25062472216</v>
      </c>
      <c r="AF906" s="3">
        <v>0</v>
      </c>
      <c r="AG906" s="3">
        <v>-373540.25062472216</v>
      </c>
      <c r="AH906" s="3">
        <v>-373540.25062472216</v>
      </c>
      <c r="AI906" s="3">
        <v>133377103.49999997</v>
      </c>
      <c r="AJ906" s="3">
        <v>0</v>
      </c>
    </row>
    <row r="907" spans="1:36" x14ac:dyDescent="0.2">
      <c r="A907" s="3" t="s">
        <v>75</v>
      </c>
      <c r="B907" s="3" t="s">
        <v>123</v>
      </c>
      <c r="C907" s="3" t="s">
        <v>124</v>
      </c>
      <c r="D907" s="3">
        <v>3</v>
      </c>
      <c r="E907" s="3">
        <v>2023</v>
      </c>
      <c r="F907" s="3">
        <v>1</v>
      </c>
      <c r="G907" s="3" t="s">
        <v>39</v>
      </c>
      <c r="H907" s="3" t="s">
        <v>46</v>
      </c>
      <c r="I907" s="5">
        <v>222388435.5</v>
      </c>
      <c r="J907" s="3">
        <v>0</v>
      </c>
      <c r="K907" s="3">
        <v>222388435.5</v>
      </c>
      <c r="L907" s="3">
        <v>222097638</v>
      </c>
      <c r="M907" s="3">
        <v>290797.5</v>
      </c>
      <c r="N907" s="3">
        <v>287255.33810076921</v>
      </c>
      <c r="O907" s="3">
        <f t="shared" si="15"/>
        <v>0.12916828946385084</v>
      </c>
      <c r="P907" s="3">
        <v>70000.000350000002</v>
      </c>
      <c r="Q907" s="3">
        <v>50139.411000000007</v>
      </c>
      <c r="R907" s="3">
        <v>45597.048500769233</v>
      </c>
      <c r="S907" s="3">
        <v>840</v>
      </c>
      <c r="T907" s="3">
        <v>73095.792000000001</v>
      </c>
      <c r="U907" s="3">
        <v>29079.75</v>
      </c>
      <c r="V907" s="3">
        <v>18503.33625</v>
      </c>
      <c r="W907" s="3">
        <v>32074.797300000006</v>
      </c>
      <c r="X907" s="3">
        <v>-28532.635400769213</v>
      </c>
      <c r="Y907" s="3">
        <v>92.988000000000014</v>
      </c>
      <c r="Z907" s="3">
        <v>263076.9635520833</v>
      </c>
      <c r="AA907" s="3">
        <v>-262983.97555208328</v>
      </c>
      <c r="AB907" s="3">
        <v>0</v>
      </c>
      <c r="AC907" s="3">
        <v>0</v>
      </c>
      <c r="AD907" s="3">
        <v>0</v>
      </c>
      <c r="AE907" s="3">
        <v>-291516.61095285253</v>
      </c>
      <c r="AF907" s="3">
        <v>0</v>
      </c>
      <c r="AG907" s="3">
        <v>-291516.61095285253</v>
      </c>
      <c r="AH907" s="3">
        <v>-291516.61095285253</v>
      </c>
      <c r="AI907" s="3">
        <v>236645503.5</v>
      </c>
      <c r="AJ907" s="3">
        <v>0</v>
      </c>
    </row>
    <row r="908" spans="1:36" x14ac:dyDescent="0.2">
      <c r="A908" s="3" t="s">
        <v>75</v>
      </c>
      <c r="B908" s="3" t="s">
        <v>83</v>
      </c>
      <c r="C908" s="3" t="s">
        <v>84</v>
      </c>
      <c r="D908" s="3">
        <v>1</v>
      </c>
      <c r="E908" s="3">
        <v>2023</v>
      </c>
      <c r="F908" s="3">
        <v>1</v>
      </c>
      <c r="G908" s="3" t="s">
        <v>42</v>
      </c>
      <c r="H908" s="3" t="s">
        <v>40</v>
      </c>
      <c r="I908" s="5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 t="e">
        <f t="shared" si="15"/>
        <v>#DIV/0!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s="3">
        <v>0</v>
      </c>
    </row>
    <row r="909" spans="1:36" x14ac:dyDescent="0.2">
      <c r="A909" s="3" t="s">
        <v>75</v>
      </c>
      <c r="B909" s="3" t="s">
        <v>83</v>
      </c>
      <c r="C909" s="3" t="s">
        <v>84</v>
      </c>
      <c r="D909" s="3">
        <v>1</v>
      </c>
      <c r="E909" s="3">
        <v>2023</v>
      </c>
      <c r="F909" s="3">
        <v>1</v>
      </c>
      <c r="G909" s="3" t="s">
        <v>39</v>
      </c>
      <c r="H909" s="3" t="s">
        <v>40</v>
      </c>
      <c r="I909" s="5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 t="e">
        <f t="shared" si="15"/>
        <v>#DIV/0!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v>0</v>
      </c>
    </row>
    <row r="910" spans="1:36" x14ac:dyDescent="0.2">
      <c r="A910" s="3" t="s">
        <v>75</v>
      </c>
      <c r="B910" s="3" t="s">
        <v>83</v>
      </c>
      <c r="C910" s="3" t="s">
        <v>84</v>
      </c>
      <c r="D910" s="3">
        <v>2</v>
      </c>
      <c r="E910" s="3">
        <v>2023</v>
      </c>
      <c r="F910" s="3">
        <v>1</v>
      </c>
      <c r="G910" s="3" t="s">
        <v>42</v>
      </c>
      <c r="H910" s="3" t="s">
        <v>40</v>
      </c>
      <c r="I910" s="5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 t="e">
        <f t="shared" si="15"/>
        <v>#DIV/0!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v>0</v>
      </c>
    </row>
    <row r="911" spans="1:36" x14ac:dyDescent="0.2">
      <c r="A911" s="3" t="s">
        <v>75</v>
      </c>
      <c r="B911" s="3" t="s">
        <v>83</v>
      </c>
      <c r="C911" s="3" t="s">
        <v>84</v>
      </c>
      <c r="D911" s="3">
        <v>2</v>
      </c>
      <c r="E911" s="3">
        <v>2023</v>
      </c>
      <c r="F911" s="3">
        <v>1</v>
      </c>
      <c r="G911" s="3" t="s">
        <v>39</v>
      </c>
      <c r="H911" s="3" t="s">
        <v>40</v>
      </c>
      <c r="I911" s="5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 t="e">
        <f t="shared" si="15"/>
        <v>#DIV/0!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0</v>
      </c>
      <c r="AI911" s="3">
        <v>0</v>
      </c>
      <c r="AJ911" s="3">
        <v>0</v>
      </c>
    </row>
    <row r="912" spans="1:36" x14ac:dyDescent="0.2">
      <c r="A912" s="3" t="s">
        <v>75</v>
      </c>
      <c r="B912" s="3" t="s">
        <v>83</v>
      </c>
      <c r="C912" s="3" t="s">
        <v>84</v>
      </c>
      <c r="D912" s="3">
        <v>3</v>
      </c>
      <c r="E912" s="3">
        <v>2023</v>
      </c>
      <c r="F912" s="3">
        <v>1</v>
      </c>
      <c r="G912" s="3" t="s">
        <v>42</v>
      </c>
      <c r="H912" s="3" t="s">
        <v>40</v>
      </c>
      <c r="I912" s="5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 t="e">
        <f t="shared" si="15"/>
        <v>#DIV/0!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</row>
    <row r="913" spans="1:36" x14ac:dyDescent="0.2">
      <c r="A913" s="3" t="s">
        <v>75</v>
      </c>
      <c r="B913" s="3" t="s">
        <v>83</v>
      </c>
      <c r="C913" s="3" t="s">
        <v>84</v>
      </c>
      <c r="D913" s="3">
        <v>3</v>
      </c>
      <c r="E913" s="3">
        <v>2023</v>
      </c>
      <c r="F913" s="3">
        <v>1</v>
      </c>
      <c r="G913" s="3" t="s">
        <v>39</v>
      </c>
      <c r="H913" s="3" t="s">
        <v>40</v>
      </c>
      <c r="I913" s="5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 t="e">
        <f t="shared" si="15"/>
        <v>#DIV/0!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s="3">
        <v>0</v>
      </c>
    </row>
    <row r="914" spans="1:36" x14ac:dyDescent="0.2">
      <c r="A914" s="3" t="s">
        <v>75</v>
      </c>
      <c r="B914" s="3" t="s">
        <v>83</v>
      </c>
      <c r="C914" s="3" t="s">
        <v>84</v>
      </c>
      <c r="D914" s="3">
        <v>3</v>
      </c>
      <c r="E914" s="3">
        <v>2023</v>
      </c>
      <c r="F914" s="3">
        <v>1</v>
      </c>
      <c r="G914" s="3" t="s">
        <v>42</v>
      </c>
      <c r="H914" s="3" t="s">
        <v>46</v>
      </c>
      <c r="I914" s="5">
        <v>660250</v>
      </c>
      <c r="J914" s="3">
        <v>158412.5</v>
      </c>
      <c r="K914" s="3">
        <v>501837.5</v>
      </c>
      <c r="L914" s="3">
        <v>396150</v>
      </c>
      <c r="M914" s="3">
        <v>105687.5</v>
      </c>
      <c r="N914" s="3">
        <v>416475.72500000003</v>
      </c>
      <c r="O914" s="3">
        <f t="shared" si="15"/>
        <v>82.990156176053006</v>
      </c>
      <c r="P914" s="3">
        <v>114316.075</v>
      </c>
      <c r="Q914" s="3">
        <v>39928.1</v>
      </c>
      <c r="R914" s="3">
        <v>151374.22500000001</v>
      </c>
      <c r="S914" s="3">
        <v>33726.774999999994</v>
      </c>
      <c r="T914" s="3">
        <v>1304.5500000000002</v>
      </c>
      <c r="U914" s="3">
        <v>10568.75</v>
      </c>
      <c r="V914" s="3">
        <v>65257.25</v>
      </c>
      <c r="W914" s="3">
        <v>0</v>
      </c>
      <c r="X914" s="3">
        <v>-310788.22499999998</v>
      </c>
      <c r="Y914" s="3">
        <v>0</v>
      </c>
      <c r="Z914" s="3">
        <v>50907.574999999997</v>
      </c>
      <c r="AA914" s="3">
        <v>-50907.574999999997</v>
      </c>
      <c r="AB914" s="3">
        <v>0</v>
      </c>
      <c r="AC914" s="3">
        <v>0</v>
      </c>
      <c r="AD914" s="3">
        <v>0</v>
      </c>
      <c r="AE914" s="3">
        <v>-361695.80000000005</v>
      </c>
      <c r="AF914" s="3">
        <v>0</v>
      </c>
      <c r="AG914" s="3">
        <v>-361695.80000000005</v>
      </c>
      <c r="AH914" s="3">
        <v>-361695.80000000005</v>
      </c>
      <c r="AI914" s="3">
        <v>1300000</v>
      </c>
      <c r="AJ914" s="3">
        <v>0</v>
      </c>
    </row>
    <row r="915" spans="1:36" x14ac:dyDescent="0.2">
      <c r="A915" s="3" t="s">
        <v>75</v>
      </c>
      <c r="B915" s="3" t="s">
        <v>83</v>
      </c>
      <c r="C915" s="3" t="s">
        <v>84</v>
      </c>
      <c r="D915" s="3">
        <v>2</v>
      </c>
      <c r="E915" s="3">
        <v>2023</v>
      </c>
      <c r="F915" s="3">
        <v>1</v>
      </c>
      <c r="G915" s="3" t="s">
        <v>42</v>
      </c>
      <c r="H915" s="3" t="s">
        <v>46</v>
      </c>
      <c r="I915" s="5">
        <v>1671376</v>
      </c>
      <c r="J915" s="3">
        <v>52402</v>
      </c>
      <c r="K915" s="3">
        <v>1618974</v>
      </c>
      <c r="L915" s="3">
        <v>1002825.6</v>
      </c>
      <c r="M915" s="3">
        <v>616148.39999999991</v>
      </c>
      <c r="N915" s="3">
        <v>653616.76799999992</v>
      </c>
      <c r="O915" s="3">
        <f t="shared" si="15"/>
        <v>40.37228318675902</v>
      </c>
      <c r="P915" s="3">
        <v>128034.00399999999</v>
      </c>
      <c r="Q915" s="3">
        <v>44322.740000000005</v>
      </c>
      <c r="R915" s="3">
        <v>170815.00800000003</v>
      </c>
      <c r="S915" s="3">
        <v>90619.648000000001</v>
      </c>
      <c r="T915" s="3">
        <v>104855.63199999998</v>
      </c>
      <c r="U915" s="3">
        <v>61614.840000000004</v>
      </c>
      <c r="V915" s="3">
        <v>53354.896000000001</v>
      </c>
      <c r="W915" s="3">
        <v>0</v>
      </c>
      <c r="X915" s="3">
        <v>-37468.368000000002</v>
      </c>
      <c r="Y915" s="3">
        <v>0</v>
      </c>
      <c r="Z915" s="3">
        <v>58655.015999999996</v>
      </c>
      <c r="AA915" s="3">
        <v>-58655.015999999996</v>
      </c>
      <c r="AB915" s="3">
        <v>0</v>
      </c>
      <c r="AC915" s="3">
        <v>0</v>
      </c>
      <c r="AD915" s="3">
        <v>0</v>
      </c>
      <c r="AE915" s="3">
        <v>-96123.383999999991</v>
      </c>
      <c r="AF915" s="3">
        <v>0</v>
      </c>
      <c r="AG915" s="3">
        <v>-96123.383999999991</v>
      </c>
      <c r="AH915" s="3">
        <v>-96123.383999999991</v>
      </c>
      <c r="AI915" s="3">
        <v>2856000</v>
      </c>
      <c r="AJ915" s="3">
        <v>0</v>
      </c>
    </row>
    <row r="916" spans="1:36" x14ac:dyDescent="0.2">
      <c r="A916" s="3" t="s">
        <v>75</v>
      </c>
      <c r="B916" s="3" t="s">
        <v>83</v>
      </c>
      <c r="C916" s="3" t="s">
        <v>84</v>
      </c>
      <c r="D916" s="3">
        <v>1</v>
      </c>
      <c r="E916" s="3">
        <v>2023</v>
      </c>
      <c r="F916" s="3">
        <v>1</v>
      </c>
      <c r="G916" s="3" t="s">
        <v>42</v>
      </c>
      <c r="H916" s="3" t="s">
        <v>46</v>
      </c>
      <c r="I916" s="5">
        <v>2039607</v>
      </c>
      <c r="J916" s="3">
        <v>18873</v>
      </c>
      <c r="K916" s="3">
        <v>2020734</v>
      </c>
      <c r="L916" s="3">
        <v>1234564.2000000002</v>
      </c>
      <c r="M916" s="3">
        <v>786169.79999999993</v>
      </c>
      <c r="N916" s="3">
        <v>752727.7620000001</v>
      </c>
      <c r="O916" s="3">
        <f t="shared" si="15"/>
        <v>37.250215119852491</v>
      </c>
      <c r="P916" s="3">
        <v>123461.36100000002</v>
      </c>
      <c r="Q916" s="3">
        <v>44483.634000000005</v>
      </c>
      <c r="R916" s="3">
        <v>185343.201</v>
      </c>
      <c r="S916" s="3">
        <v>110362.39200000002</v>
      </c>
      <c r="T916" s="3">
        <v>42936.75</v>
      </c>
      <c r="U916" s="3">
        <v>78616.98000000001</v>
      </c>
      <c r="V916" s="3">
        <v>167523.44400000002</v>
      </c>
      <c r="W916" s="3">
        <v>0</v>
      </c>
      <c r="X916" s="3">
        <v>33442.038</v>
      </c>
      <c r="Y916" s="3">
        <v>0</v>
      </c>
      <c r="Z916" s="3">
        <v>58549.85100000001</v>
      </c>
      <c r="AA916" s="3">
        <v>-58549.85100000001</v>
      </c>
      <c r="AB916" s="3">
        <v>0</v>
      </c>
      <c r="AC916" s="3">
        <v>0</v>
      </c>
      <c r="AD916" s="3">
        <v>0</v>
      </c>
      <c r="AE916" s="3">
        <v>-25107.813000000002</v>
      </c>
      <c r="AF916" s="3">
        <v>0</v>
      </c>
      <c r="AG916" s="3">
        <v>-25107.813000000002</v>
      </c>
      <c r="AH916" s="3">
        <v>-25107.813000000002</v>
      </c>
      <c r="AI916" s="3">
        <v>2160000</v>
      </c>
      <c r="AJ916" s="3">
        <v>0</v>
      </c>
    </row>
    <row r="917" spans="1:36" x14ac:dyDescent="0.2">
      <c r="A917" s="3" t="s">
        <v>75</v>
      </c>
      <c r="B917" s="3" t="s">
        <v>83</v>
      </c>
      <c r="C917" s="3" t="s">
        <v>84</v>
      </c>
      <c r="D917" s="3">
        <v>3</v>
      </c>
      <c r="E917" s="3">
        <v>2023</v>
      </c>
      <c r="F917" s="3">
        <v>1</v>
      </c>
      <c r="G917" s="3" t="s">
        <v>48</v>
      </c>
      <c r="H917" s="3" t="s">
        <v>46</v>
      </c>
      <c r="I917" s="5">
        <v>29701856.400000002</v>
      </c>
      <c r="J917" s="3">
        <v>1816647</v>
      </c>
      <c r="K917" s="3">
        <v>27885209.399999999</v>
      </c>
      <c r="L917" s="3">
        <v>17748472.450999998</v>
      </c>
      <c r="M917" s="3">
        <v>10136736.949000001</v>
      </c>
      <c r="N917" s="3">
        <v>9806303.6549999993</v>
      </c>
      <c r="O917" s="3">
        <f t="shared" si="15"/>
        <v>35.166684654697264</v>
      </c>
      <c r="P917" s="3">
        <v>2137704.9720000001</v>
      </c>
      <c r="Q917" s="3">
        <v>603623.08400000003</v>
      </c>
      <c r="R917" s="3">
        <v>2956182.2600000002</v>
      </c>
      <c r="S917" s="3">
        <v>503862.78599999991</v>
      </c>
      <c r="T917" s="3">
        <v>1430012.8459999999</v>
      </c>
      <c r="U917" s="3">
        <v>558036.1939999999</v>
      </c>
      <c r="V917" s="3">
        <v>1616881.5129999998</v>
      </c>
      <c r="W917" s="3">
        <v>0</v>
      </c>
      <c r="X917" s="3">
        <v>330433.29399999994</v>
      </c>
      <c r="Y917" s="3">
        <v>638.54748927283674</v>
      </c>
      <c r="Z917" s="3">
        <v>2699487.301</v>
      </c>
      <c r="AA917" s="3">
        <v>-2698848.7535107275</v>
      </c>
      <c r="AB917" s="3">
        <v>294905.44099999999</v>
      </c>
      <c r="AC917" s="3">
        <v>65930</v>
      </c>
      <c r="AD917" s="3">
        <v>228975.44099999999</v>
      </c>
      <c r="AE917" s="3">
        <v>-2139440.0185107272</v>
      </c>
      <c r="AF917" s="3">
        <v>0</v>
      </c>
      <c r="AG917" s="3">
        <v>-2139440.0185107272</v>
      </c>
      <c r="AH917" s="3">
        <v>-2139440.0185107272</v>
      </c>
      <c r="AI917" s="3">
        <v>55100000</v>
      </c>
      <c r="AJ917" s="3">
        <v>0</v>
      </c>
    </row>
    <row r="918" spans="1:36" x14ac:dyDescent="0.2">
      <c r="A918" s="3" t="s">
        <v>75</v>
      </c>
      <c r="B918" s="3" t="s">
        <v>83</v>
      </c>
      <c r="C918" s="3" t="s">
        <v>84</v>
      </c>
      <c r="D918" s="3">
        <v>2</v>
      </c>
      <c r="E918" s="3">
        <v>2023</v>
      </c>
      <c r="F918" s="3">
        <v>1</v>
      </c>
      <c r="G918" s="3" t="s">
        <v>48</v>
      </c>
      <c r="H918" s="3" t="s">
        <v>46</v>
      </c>
      <c r="I918" s="5">
        <v>53117299.01699999</v>
      </c>
      <c r="J918" s="3">
        <v>2878627.3569999998</v>
      </c>
      <c r="K918" s="3">
        <v>50238671.660000004</v>
      </c>
      <c r="L918" s="3">
        <v>32301378.342999998</v>
      </c>
      <c r="M918" s="3">
        <v>17937293.317000002</v>
      </c>
      <c r="N918" s="3">
        <v>9486854.6409999989</v>
      </c>
      <c r="O918" s="3">
        <f t="shared" si="15"/>
        <v>18.883569822872975</v>
      </c>
      <c r="P918" s="3">
        <v>1912683.3960000002</v>
      </c>
      <c r="Q918" s="3">
        <v>534177.196</v>
      </c>
      <c r="R918" s="3">
        <v>2659254.58</v>
      </c>
      <c r="S918" s="3">
        <v>334860.13500000001</v>
      </c>
      <c r="T918" s="3">
        <v>1618948.0460000001</v>
      </c>
      <c r="U918" s="3">
        <v>1104774.92</v>
      </c>
      <c r="V918" s="3">
        <v>1322156.368</v>
      </c>
      <c r="W918" s="3">
        <v>0</v>
      </c>
      <c r="X918" s="3">
        <v>8450438.675999999</v>
      </c>
      <c r="Y918" s="3">
        <v>1206.7509994671295</v>
      </c>
      <c r="Z918" s="3">
        <v>2309919.8969999999</v>
      </c>
      <c r="AA918" s="3">
        <v>-2308713.1460005329</v>
      </c>
      <c r="AB918" s="3">
        <v>108283.79499999998</v>
      </c>
      <c r="AC918" s="3">
        <v>63886</v>
      </c>
      <c r="AD918" s="3">
        <v>44397.794999999998</v>
      </c>
      <c r="AE918" s="3">
        <v>6186123.3249994656</v>
      </c>
      <c r="AF918" s="3">
        <v>0</v>
      </c>
      <c r="AG918" s="3">
        <v>6186123.3249994656</v>
      </c>
      <c r="AH918" s="3">
        <v>6186123.3249994656</v>
      </c>
      <c r="AI918" s="3">
        <v>64600000</v>
      </c>
      <c r="AJ918" s="3">
        <v>0</v>
      </c>
    </row>
    <row r="919" spans="1:36" x14ac:dyDescent="0.2">
      <c r="A919" s="3" t="s">
        <v>75</v>
      </c>
      <c r="B919" s="3" t="s">
        <v>83</v>
      </c>
      <c r="C919" s="3" t="s">
        <v>84</v>
      </c>
      <c r="D919" s="3">
        <v>1</v>
      </c>
      <c r="E919" s="3">
        <v>2023</v>
      </c>
      <c r="F919" s="3">
        <v>1</v>
      </c>
      <c r="G919" s="3" t="s">
        <v>48</v>
      </c>
      <c r="H919" s="3" t="s">
        <v>46</v>
      </c>
      <c r="I919" s="5">
        <v>101944494</v>
      </c>
      <c r="J919" s="3">
        <v>5994783</v>
      </c>
      <c r="K919" s="3">
        <v>95949711</v>
      </c>
      <c r="L919" s="3">
        <v>72550987.011000007</v>
      </c>
      <c r="M919" s="3">
        <v>23398723.989</v>
      </c>
      <c r="N919" s="3">
        <v>15795415.395</v>
      </c>
      <c r="O919" s="3">
        <f t="shared" si="15"/>
        <v>16.462181313917661</v>
      </c>
      <c r="P919" s="3">
        <v>3037791.1949999998</v>
      </c>
      <c r="Q919" s="3">
        <v>1011698.5860000001</v>
      </c>
      <c r="R919" s="3">
        <v>4724775.495000001</v>
      </c>
      <c r="S919" s="3">
        <v>436613.30099999998</v>
      </c>
      <c r="T919" s="3">
        <v>1504414.5120000001</v>
      </c>
      <c r="U919" s="3">
        <v>2038848.5160000003</v>
      </c>
      <c r="V919" s="3">
        <v>3041273.79</v>
      </c>
      <c r="W919" s="3">
        <v>0</v>
      </c>
      <c r="X919" s="3">
        <v>7603308.5940000005</v>
      </c>
      <c r="Y919" s="3">
        <v>2173.8932444431707</v>
      </c>
      <c r="Z919" s="3">
        <v>3127486.7340000002</v>
      </c>
      <c r="AA919" s="3">
        <v>-3125312.8407555567</v>
      </c>
      <c r="AB919" s="3">
        <v>55350</v>
      </c>
      <c r="AC919" s="3">
        <v>55350</v>
      </c>
      <c r="AD919" s="3">
        <v>0</v>
      </c>
      <c r="AE919" s="3">
        <v>4477995.7532444429</v>
      </c>
      <c r="AF919" s="3">
        <v>0</v>
      </c>
      <c r="AG919" s="3">
        <v>4477995.7532444429</v>
      </c>
      <c r="AH919" s="3">
        <v>4477995.7532444429</v>
      </c>
      <c r="AI919" s="3">
        <v>104760000</v>
      </c>
      <c r="AJ919" s="3">
        <v>0</v>
      </c>
    </row>
    <row r="920" spans="1:36" x14ac:dyDescent="0.2">
      <c r="A920" s="3" t="s">
        <v>75</v>
      </c>
      <c r="B920" s="3" t="s">
        <v>83</v>
      </c>
      <c r="C920" s="3" t="s">
        <v>84</v>
      </c>
      <c r="D920" s="3">
        <v>3</v>
      </c>
      <c r="E920" s="3">
        <v>2023</v>
      </c>
      <c r="F920" s="3">
        <v>1</v>
      </c>
      <c r="G920" s="3" t="s">
        <v>39</v>
      </c>
      <c r="H920" s="3" t="s">
        <v>46</v>
      </c>
      <c r="I920" s="5">
        <v>305942535.62660152</v>
      </c>
      <c r="J920" s="3">
        <v>0</v>
      </c>
      <c r="K920" s="3">
        <v>305942535.62660152</v>
      </c>
      <c r="L920" s="3">
        <v>304629785.55894399</v>
      </c>
      <c r="M920" s="3">
        <v>1312750.0676575089</v>
      </c>
      <c r="N920" s="3">
        <v>581653.11399999994</v>
      </c>
      <c r="O920" s="3">
        <f t="shared" si="15"/>
        <v>0.19011841972503596</v>
      </c>
      <c r="P920" s="3">
        <v>52449.11</v>
      </c>
      <c r="Q920" s="3">
        <v>162.04999999999998</v>
      </c>
      <c r="R920" s="3">
        <v>326294.68199999997</v>
      </c>
      <c r="S920" s="3">
        <v>3947.3839999999996</v>
      </c>
      <c r="T920" s="3">
        <v>37621.807999999997</v>
      </c>
      <c r="U920" s="3">
        <v>131329.88399999999</v>
      </c>
      <c r="V920" s="3">
        <v>29848.195999999996</v>
      </c>
      <c r="W920" s="3">
        <v>0</v>
      </c>
      <c r="X920" s="3">
        <v>731096.95365750883</v>
      </c>
      <c r="Y920" s="3">
        <v>0</v>
      </c>
      <c r="Z920" s="3">
        <v>74147.359999999986</v>
      </c>
      <c r="AA920" s="3">
        <v>-74147.359999999986</v>
      </c>
      <c r="AB920" s="3">
        <v>2519.9999999999995</v>
      </c>
      <c r="AC920" s="3">
        <v>711.2</v>
      </c>
      <c r="AD920" s="3">
        <v>1808.8</v>
      </c>
      <c r="AE920" s="3">
        <v>658758.39365750889</v>
      </c>
      <c r="AF920" s="3">
        <v>0</v>
      </c>
      <c r="AG920" s="3">
        <v>658758.39365750889</v>
      </c>
      <c r="AH920" s="3">
        <v>658758.39365750889</v>
      </c>
      <c r="AI920" s="3">
        <v>305942535.62660152</v>
      </c>
      <c r="AJ920" s="3">
        <v>569545.07770858449</v>
      </c>
    </row>
    <row r="921" spans="1:36" x14ac:dyDescent="0.2">
      <c r="A921" s="3" t="s">
        <v>75</v>
      </c>
      <c r="B921" s="3" t="s">
        <v>83</v>
      </c>
      <c r="C921" s="3" t="s">
        <v>84</v>
      </c>
      <c r="D921" s="3">
        <v>1</v>
      </c>
      <c r="E921" s="3">
        <v>2023</v>
      </c>
      <c r="F921" s="3">
        <v>1</v>
      </c>
      <c r="G921" s="3" t="s">
        <v>39</v>
      </c>
      <c r="H921" s="3" t="s">
        <v>46</v>
      </c>
      <c r="I921" s="5">
        <v>414632028.25985849</v>
      </c>
      <c r="J921" s="3">
        <v>0</v>
      </c>
      <c r="K921" s="3">
        <v>414632028.25985849</v>
      </c>
      <c r="L921" s="3">
        <v>413805487.83734357</v>
      </c>
      <c r="M921" s="3">
        <v>826540.42251488124</v>
      </c>
      <c r="N921" s="3">
        <v>546536.46600000001</v>
      </c>
      <c r="O921" s="3">
        <f t="shared" si="15"/>
        <v>0.13181240925688315</v>
      </c>
      <c r="P921" s="3">
        <v>78673.665000000008</v>
      </c>
      <c r="Q921" s="3">
        <v>1107.6660000000002</v>
      </c>
      <c r="R921" s="3">
        <v>242482.88400000002</v>
      </c>
      <c r="S921" s="3">
        <v>5921.0759999999991</v>
      </c>
      <c r="T921" s="3">
        <v>80452.154999999999</v>
      </c>
      <c r="U921" s="3">
        <v>84104.307000000001</v>
      </c>
      <c r="V921" s="3">
        <v>53794.713000000003</v>
      </c>
      <c r="W921" s="3">
        <v>0</v>
      </c>
      <c r="X921" s="3">
        <v>280003.95651488111</v>
      </c>
      <c r="Y921" s="3">
        <v>0</v>
      </c>
      <c r="Z921" s="3">
        <v>14080.5</v>
      </c>
      <c r="AA921" s="3">
        <v>-14080.5</v>
      </c>
      <c r="AB921" s="3">
        <v>85470</v>
      </c>
      <c r="AC921" s="3">
        <v>19202.400000000001</v>
      </c>
      <c r="AD921" s="3">
        <v>66267.600000000006</v>
      </c>
      <c r="AE921" s="3">
        <v>332191.05651488114</v>
      </c>
      <c r="AF921" s="3">
        <v>0</v>
      </c>
      <c r="AG921" s="3">
        <v>332191.05651488114</v>
      </c>
      <c r="AH921" s="3">
        <v>332191.05651488114</v>
      </c>
      <c r="AI921" s="3">
        <v>1449932028.2598588</v>
      </c>
      <c r="AJ921" s="3">
        <v>795323.36656287673</v>
      </c>
    </row>
    <row r="922" spans="1:36" x14ac:dyDescent="0.2">
      <c r="A922" s="3" t="s">
        <v>75</v>
      </c>
      <c r="B922" s="3" t="s">
        <v>83</v>
      </c>
      <c r="C922" s="3" t="s">
        <v>84</v>
      </c>
      <c r="D922" s="3">
        <v>2</v>
      </c>
      <c r="E922" s="3">
        <v>2023</v>
      </c>
      <c r="F922" s="3">
        <v>1</v>
      </c>
      <c r="G922" s="3" t="s">
        <v>39</v>
      </c>
      <c r="H922" s="3" t="s">
        <v>46</v>
      </c>
      <c r="I922" s="5">
        <v>1363316429.130897</v>
      </c>
      <c r="J922" s="3">
        <v>0</v>
      </c>
      <c r="K922" s="3">
        <v>1363316429.130897</v>
      </c>
      <c r="L922" s="3">
        <v>1359589121.1662998</v>
      </c>
      <c r="M922" s="3">
        <v>3727307.9645972284</v>
      </c>
      <c r="N922" s="3">
        <v>1265101.7959999999</v>
      </c>
      <c r="O922" s="3">
        <f t="shared" si="15"/>
        <v>9.2795903355062756E-2</v>
      </c>
      <c r="P922" s="3">
        <v>104898.22</v>
      </c>
      <c r="Q922" s="3">
        <v>0</v>
      </c>
      <c r="R922" s="3">
        <v>722419.71199999982</v>
      </c>
      <c r="S922" s="3">
        <v>7894.7679999999991</v>
      </c>
      <c r="T922" s="3">
        <v>58518.543999999994</v>
      </c>
      <c r="U922" s="3">
        <v>327789.41999999993</v>
      </c>
      <c r="V922" s="3">
        <v>43581.131999999998</v>
      </c>
      <c r="W922" s="3">
        <v>0</v>
      </c>
      <c r="X922" s="3">
        <v>2462206.1685972288</v>
      </c>
      <c r="Y922" s="3">
        <v>0</v>
      </c>
      <c r="Z922" s="3">
        <v>40483.799999999996</v>
      </c>
      <c r="AA922" s="3">
        <v>-40483.799999999996</v>
      </c>
      <c r="AB922" s="3">
        <v>45920</v>
      </c>
      <c r="AC922" s="3">
        <v>15646.400000000001</v>
      </c>
      <c r="AD922" s="3">
        <v>30273.600000000002</v>
      </c>
      <c r="AE922" s="3">
        <v>2451995.9685972291</v>
      </c>
      <c r="AF922" s="3">
        <v>0</v>
      </c>
      <c r="AG922" s="3">
        <v>2451995.9685972291</v>
      </c>
      <c r="AH922" s="3">
        <v>2451995.9685972291</v>
      </c>
      <c r="AI922" s="3">
        <v>1363316429.130897</v>
      </c>
      <c r="AJ922" s="3">
        <v>1139090.155417169</v>
      </c>
    </row>
    <row r="923" spans="1:36" x14ac:dyDescent="0.2">
      <c r="A923" s="3" t="s">
        <v>75</v>
      </c>
      <c r="B923" s="3" t="s">
        <v>83</v>
      </c>
      <c r="C923" s="3" t="s">
        <v>85</v>
      </c>
      <c r="D923" s="3">
        <v>1</v>
      </c>
      <c r="E923" s="3">
        <v>2023</v>
      </c>
      <c r="F923" s="3">
        <v>1</v>
      </c>
      <c r="G923" s="3" t="s">
        <v>42</v>
      </c>
      <c r="H923" s="3" t="s">
        <v>40</v>
      </c>
      <c r="I923" s="5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 t="e">
        <f t="shared" si="15"/>
        <v>#DIV/0!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 s="3">
        <v>0</v>
      </c>
    </row>
    <row r="924" spans="1:36" x14ac:dyDescent="0.2">
      <c r="A924" s="3" t="s">
        <v>75</v>
      </c>
      <c r="B924" s="3" t="s">
        <v>83</v>
      </c>
      <c r="C924" s="3" t="s">
        <v>85</v>
      </c>
      <c r="D924" s="3">
        <v>1</v>
      </c>
      <c r="E924" s="3">
        <v>2023</v>
      </c>
      <c r="F924" s="3">
        <v>1</v>
      </c>
      <c r="G924" s="3" t="s">
        <v>39</v>
      </c>
      <c r="H924" s="3" t="s">
        <v>40</v>
      </c>
      <c r="I924" s="5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 t="e">
        <f t="shared" si="15"/>
        <v>#DIV/0!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0</v>
      </c>
      <c r="AJ924" s="3">
        <v>0</v>
      </c>
    </row>
    <row r="925" spans="1:36" x14ac:dyDescent="0.2">
      <c r="A925" s="3" t="s">
        <v>75</v>
      </c>
      <c r="B925" s="3" t="s">
        <v>83</v>
      </c>
      <c r="C925" s="3" t="s">
        <v>85</v>
      </c>
      <c r="D925" s="3">
        <v>2</v>
      </c>
      <c r="E925" s="3">
        <v>2023</v>
      </c>
      <c r="F925" s="3">
        <v>1</v>
      </c>
      <c r="G925" s="3" t="s">
        <v>42</v>
      </c>
      <c r="H925" s="3" t="s">
        <v>40</v>
      </c>
      <c r="I925" s="5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 t="e">
        <f t="shared" si="15"/>
        <v>#DIV/0!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s="3">
        <v>0</v>
      </c>
    </row>
    <row r="926" spans="1:36" x14ac:dyDescent="0.2">
      <c r="A926" s="3" t="s">
        <v>75</v>
      </c>
      <c r="B926" s="3" t="s">
        <v>83</v>
      </c>
      <c r="C926" s="3" t="s">
        <v>85</v>
      </c>
      <c r="D926" s="3">
        <v>2</v>
      </c>
      <c r="E926" s="3">
        <v>2023</v>
      </c>
      <c r="F926" s="3">
        <v>1</v>
      </c>
      <c r="G926" s="3" t="s">
        <v>39</v>
      </c>
      <c r="H926" s="3" t="s">
        <v>40</v>
      </c>
      <c r="I926" s="5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 t="e">
        <f t="shared" si="15"/>
        <v>#DIV/0!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  <c r="AJ926" s="3">
        <v>0</v>
      </c>
    </row>
    <row r="927" spans="1:36" x14ac:dyDescent="0.2">
      <c r="A927" s="3" t="s">
        <v>75</v>
      </c>
      <c r="B927" s="3" t="s">
        <v>83</v>
      </c>
      <c r="C927" s="3" t="s">
        <v>85</v>
      </c>
      <c r="D927" s="3">
        <v>3</v>
      </c>
      <c r="E927" s="3">
        <v>2023</v>
      </c>
      <c r="F927" s="3">
        <v>1</v>
      </c>
      <c r="G927" s="3" t="s">
        <v>42</v>
      </c>
      <c r="H927" s="3" t="s">
        <v>40</v>
      </c>
      <c r="I927" s="5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 t="e">
        <f t="shared" si="15"/>
        <v>#DIV/0!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0</v>
      </c>
      <c r="AJ927" s="3">
        <v>0</v>
      </c>
    </row>
    <row r="928" spans="1:36" x14ac:dyDescent="0.2">
      <c r="A928" s="3" t="s">
        <v>75</v>
      </c>
      <c r="B928" s="3" t="s">
        <v>83</v>
      </c>
      <c r="C928" s="3" t="s">
        <v>85</v>
      </c>
      <c r="D928" s="3">
        <v>3</v>
      </c>
      <c r="E928" s="3">
        <v>2023</v>
      </c>
      <c r="F928" s="3">
        <v>1</v>
      </c>
      <c r="G928" s="3" t="s">
        <v>39</v>
      </c>
      <c r="H928" s="3" t="s">
        <v>40</v>
      </c>
      <c r="I928" s="5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 t="e">
        <f t="shared" si="15"/>
        <v>#DIV/0!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 s="3">
        <v>0</v>
      </c>
    </row>
    <row r="929" spans="1:36" x14ac:dyDescent="0.2">
      <c r="A929" s="3" t="s">
        <v>75</v>
      </c>
      <c r="B929" s="3" t="s">
        <v>83</v>
      </c>
      <c r="C929" s="3" t="s">
        <v>85</v>
      </c>
      <c r="D929" s="3">
        <v>3</v>
      </c>
      <c r="E929" s="3">
        <v>2023</v>
      </c>
      <c r="F929" s="3">
        <v>1</v>
      </c>
      <c r="G929" s="3" t="s">
        <v>42</v>
      </c>
      <c r="H929" s="3" t="s">
        <v>46</v>
      </c>
      <c r="I929" s="5">
        <v>738074</v>
      </c>
      <c r="J929" s="3">
        <v>142519</v>
      </c>
      <c r="K929" s="3">
        <v>595555</v>
      </c>
      <c r="L929" s="3">
        <v>442844.4</v>
      </c>
      <c r="M929" s="3">
        <v>152710.6</v>
      </c>
      <c r="N929" s="3">
        <v>535508.08400000003</v>
      </c>
      <c r="O929" s="3">
        <f t="shared" si="15"/>
        <v>89.917486042431022</v>
      </c>
      <c r="P929" s="3">
        <v>118750</v>
      </c>
      <c r="Q929" s="3">
        <v>111955.448</v>
      </c>
      <c r="R929" s="3">
        <v>148050.86899999998</v>
      </c>
      <c r="S929" s="3">
        <v>40893.851999999999</v>
      </c>
      <c r="T929" s="3">
        <v>1673.1019999999999</v>
      </c>
      <c r="U929" s="3">
        <v>15271.06</v>
      </c>
      <c r="V929" s="3">
        <v>98913.752999999997</v>
      </c>
      <c r="W929" s="3">
        <v>0</v>
      </c>
      <c r="X929" s="3">
        <v>-382797.48399999994</v>
      </c>
      <c r="Y929" s="3">
        <v>0</v>
      </c>
      <c r="Z929" s="3">
        <v>46731.430999999997</v>
      </c>
      <c r="AA929" s="3">
        <v>-46731.430999999997</v>
      </c>
      <c r="AB929" s="3">
        <v>0</v>
      </c>
      <c r="AC929" s="3">
        <v>0</v>
      </c>
      <c r="AD929" s="3">
        <v>0</v>
      </c>
      <c r="AE929" s="3">
        <v>-429528.91499999998</v>
      </c>
      <c r="AF929" s="3">
        <v>0</v>
      </c>
      <c r="AG929" s="3">
        <v>-429528.91499999998</v>
      </c>
      <c r="AH929" s="3">
        <v>-429528.91499999998</v>
      </c>
      <c r="AI929" s="3">
        <v>893000</v>
      </c>
      <c r="AJ929" s="3">
        <v>0</v>
      </c>
    </row>
    <row r="930" spans="1:36" x14ac:dyDescent="0.2">
      <c r="A930" s="3" t="s">
        <v>75</v>
      </c>
      <c r="B930" s="3" t="s">
        <v>83</v>
      </c>
      <c r="C930" s="3" t="s">
        <v>85</v>
      </c>
      <c r="D930" s="3">
        <v>2</v>
      </c>
      <c r="E930" s="3">
        <v>2023</v>
      </c>
      <c r="F930" s="3">
        <v>1</v>
      </c>
      <c r="G930" s="3" t="s">
        <v>42</v>
      </c>
      <c r="H930" s="3" t="s">
        <v>46</v>
      </c>
      <c r="I930" s="5">
        <v>1201320</v>
      </c>
      <c r="J930" s="3">
        <v>7560</v>
      </c>
      <c r="K930" s="3">
        <v>1193760</v>
      </c>
      <c r="L930" s="3">
        <v>722712</v>
      </c>
      <c r="M930" s="3">
        <v>471048</v>
      </c>
      <c r="N930" s="3">
        <v>566191.92000000004</v>
      </c>
      <c r="O930" s="3">
        <f t="shared" si="15"/>
        <v>47.429292320064334</v>
      </c>
      <c r="P930" s="3">
        <v>75000</v>
      </c>
      <c r="Q930" s="3">
        <v>67751.567999999999</v>
      </c>
      <c r="R930" s="3">
        <v>113053.644</v>
      </c>
      <c r="S930" s="3">
        <v>66708.695999999996</v>
      </c>
      <c r="T930" s="3">
        <v>130480.57199999999</v>
      </c>
      <c r="U930" s="3">
        <v>47104.799999999996</v>
      </c>
      <c r="V930" s="3">
        <v>66092.639999999999</v>
      </c>
      <c r="W930" s="3">
        <v>0</v>
      </c>
      <c r="X930" s="3">
        <v>-95143.92</v>
      </c>
      <c r="Y930" s="3">
        <v>0</v>
      </c>
      <c r="Z930" s="3">
        <v>29955.504000000001</v>
      </c>
      <c r="AA930" s="3">
        <v>-29955.504000000001</v>
      </c>
      <c r="AB930" s="3">
        <v>0</v>
      </c>
      <c r="AC930" s="3">
        <v>0</v>
      </c>
      <c r="AD930" s="3">
        <v>0</v>
      </c>
      <c r="AE930" s="3">
        <v>-125099.424</v>
      </c>
      <c r="AF930" s="3">
        <v>0</v>
      </c>
      <c r="AG930" s="3">
        <v>-125099.424</v>
      </c>
      <c r="AH930" s="3">
        <v>-125099.424</v>
      </c>
      <c r="AI930" s="3">
        <v>1464000</v>
      </c>
      <c r="AJ930" s="3">
        <v>0</v>
      </c>
    </row>
    <row r="931" spans="1:36" x14ac:dyDescent="0.2">
      <c r="A931" s="3" t="s">
        <v>75</v>
      </c>
      <c r="B931" s="3" t="s">
        <v>83</v>
      </c>
      <c r="C931" s="3" t="s">
        <v>85</v>
      </c>
      <c r="D931" s="3">
        <v>1</v>
      </c>
      <c r="E931" s="3">
        <v>2023</v>
      </c>
      <c r="F931" s="3">
        <v>1</v>
      </c>
      <c r="G931" s="3" t="s">
        <v>42</v>
      </c>
      <c r="H931" s="3" t="s">
        <v>46</v>
      </c>
      <c r="I931" s="5">
        <v>2398850</v>
      </c>
      <c r="J931" s="3">
        <v>26850</v>
      </c>
      <c r="K931" s="3">
        <v>2372000</v>
      </c>
      <c r="L931" s="3">
        <v>1443310</v>
      </c>
      <c r="M931" s="3">
        <v>928690</v>
      </c>
      <c r="N931" s="3">
        <v>1276044.2250000001</v>
      </c>
      <c r="O931" s="3">
        <f t="shared" si="15"/>
        <v>53.796130902192253</v>
      </c>
      <c r="P931" s="3">
        <v>156250</v>
      </c>
      <c r="Q931" s="3">
        <v>128765.325</v>
      </c>
      <c r="R931" s="3">
        <v>241460.32500000001</v>
      </c>
      <c r="S931" s="3">
        <v>133226.45000000001</v>
      </c>
      <c r="T931" s="3">
        <v>93460.400000000009</v>
      </c>
      <c r="U931" s="3">
        <v>92869</v>
      </c>
      <c r="V931" s="3">
        <v>430012.72499999998</v>
      </c>
      <c r="W931" s="3">
        <v>0</v>
      </c>
      <c r="X931" s="3">
        <v>-347354.22499999998</v>
      </c>
      <c r="Y931" s="3">
        <v>0</v>
      </c>
      <c r="Z931" s="3">
        <v>65136.324999999997</v>
      </c>
      <c r="AA931" s="3">
        <v>-65136.324999999997</v>
      </c>
      <c r="AB931" s="3">
        <v>0</v>
      </c>
      <c r="AC931" s="3">
        <v>0</v>
      </c>
      <c r="AD931" s="3">
        <v>0</v>
      </c>
      <c r="AE931" s="3">
        <v>-412490.55</v>
      </c>
      <c r="AF931" s="3">
        <v>0</v>
      </c>
      <c r="AG931" s="3">
        <v>-412490.55</v>
      </c>
      <c r="AH931" s="3">
        <v>-412490.55</v>
      </c>
      <c r="AI931" s="3">
        <v>1250000</v>
      </c>
      <c r="AJ931" s="3">
        <v>0</v>
      </c>
    </row>
    <row r="932" spans="1:36" x14ac:dyDescent="0.2">
      <c r="A932" s="3" t="s">
        <v>75</v>
      </c>
      <c r="B932" s="3" t="s">
        <v>83</v>
      </c>
      <c r="C932" s="3" t="s">
        <v>85</v>
      </c>
      <c r="D932" s="3">
        <v>3</v>
      </c>
      <c r="E932" s="3">
        <v>2023</v>
      </c>
      <c r="F932" s="3">
        <v>1</v>
      </c>
      <c r="G932" s="3" t="s">
        <v>48</v>
      </c>
      <c r="H932" s="3" t="s">
        <v>46</v>
      </c>
      <c r="I932" s="5">
        <v>40056016.000000007</v>
      </c>
      <c r="J932" s="3">
        <v>2701094</v>
      </c>
      <c r="K932" s="3">
        <v>37354922.000000007</v>
      </c>
      <c r="L932" s="3">
        <v>24942917.252000004</v>
      </c>
      <c r="M932" s="3">
        <v>12412004.748000002</v>
      </c>
      <c r="N932" s="3">
        <v>9568404.4940000009</v>
      </c>
      <c r="O932" s="3">
        <f t="shared" si="15"/>
        <v>25.614842654470003</v>
      </c>
      <c r="P932" s="3">
        <v>1556280</v>
      </c>
      <c r="Q932" s="3">
        <v>1700113.0740000003</v>
      </c>
      <c r="R932" s="3">
        <v>2167979.7700000005</v>
      </c>
      <c r="S932" s="3">
        <v>565146.84600000002</v>
      </c>
      <c r="T932" s="3">
        <v>1255882.2980000002</v>
      </c>
      <c r="U932" s="3">
        <v>663456.22199999995</v>
      </c>
      <c r="V932" s="3">
        <v>1659546.2840000002</v>
      </c>
      <c r="W932" s="3">
        <v>0</v>
      </c>
      <c r="X932" s="3">
        <v>2843600.2540000007</v>
      </c>
      <c r="Y932" s="3">
        <v>781.87433575059924</v>
      </c>
      <c r="Z932" s="3">
        <v>2376712.1180000002</v>
      </c>
      <c r="AA932" s="3">
        <v>-2375930.2436642498</v>
      </c>
      <c r="AB932" s="3">
        <v>27500</v>
      </c>
      <c r="AC932" s="3">
        <v>27500</v>
      </c>
      <c r="AD932" s="3">
        <v>0</v>
      </c>
      <c r="AE932" s="3">
        <v>467670.01033575053</v>
      </c>
      <c r="AF932" s="3">
        <v>0</v>
      </c>
      <c r="AG932" s="3">
        <v>467670.01033575053</v>
      </c>
      <c r="AH932" s="3">
        <v>467670.01033575053</v>
      </c>
      <c r="AI932" s="3">
        <v>59400000.000000007</v>
      </c>
      <c r="AJ932" s="3">
        <v>0</v>
      </c>
    </row>
    <row r="933" spans="1:36" x14ac:dyDescent="0.2">
      <c r="A933" s="3" t="s">
        <v>75</v>
      </c>
      <c r="B933" s="3" t="s">
        <v>83</v>
      </c>
      <c r="C933" s="3" t="s">
        <v>85</v>
      </c>
      <c r="D933" s="3">
        <v>1</v>
      </c>
      <c r="E933" s="3">
        <v>2023</v>
      </c>
      <c r="F933" s="3">
        <v>1</v>
      </c>
      <c r="G933" s="3" t="s">
        <v>48</v>
      </c>
      <c r="H933" s="3" t="s">
        <v>46</v>
      </c>
      <c r="I933" s="5">
        <v>59209717.599999994</v>
      </c>
      <c r="J933" s="3">
        <v>3567797.6</v>
      </c>
      <c r="K933" s="3">
        <v>55641920</v>
      </c>
      <c r="L933" s="3">
        <v>38944334.223999999</v>
      </c>
      <c r="M933" s="3">
        <v>16697585.776000002</v>
      </c>
      <c r="N933" s="3">
        <v>7626971.0080000004</v>
      </c>
      <c r="O933" s="3">
        <f t="shared" si="15"/>
        <v>13.707239088802112</v>
      </c>
      <c r="P933" s="3">
        <v>1131840</v>
      </c>
      <c r="Q933" s="3">
        <v>1189674.416</v>
      </c>
      <c r="R933" s="3">
        <v>1911210.8640000001</v>
      </c>
      <c r="S933" s="3">
        <v>225128.52799999999</v>
      </c>
      <c r="T933" s="3">
        <v>397800.54399999999</v>
      </c>
      <c r="U933" s="3">
        <v>1063327.8400000001</v>
      </c>
      <c r="V933" s="3">
        <v>1707988.8160000001</v>
      </c>
      <c r="W933" s="3">
        <v>0</v>
      </c>
      <c r="X933" s="3">
        <v>9070614.7680000011</v>
      </c>
      <c r="Y933" s="3">
        <v>1551.314034646557</v>
      </c>
      <c r="Z933" s="3">
        <v>1609262.88</v>
      </c>
      <c r="AA933" s="3">
        <v>-1607711.5659653535</v>
      </c>
      <c r="AB933" s="3">
        <v>22512</v>
      </c>
      <c r="AC933" s="3">
        <v>22512</v>
      </c>
      <c r="AD933" s="3">
        <v>0</v>
      </c>
      <c r="AE933" s="3">
        <v>7462903.2020346466</v>
      </c>
      <c r="AF933" s="3">
        <v>0</v>
      </c>
      <c r="AG933" s="3">
        <v>7462903.2020346466</v>
      </c>
      <c r="AH933" s="3">
        <v>7462903.2020346466</v>
      </c>
      <c r="AI933" s="3">
        <v>51040000</v>
      </c>
      <c r="AJ933" s="3">
        <v>0</v>
      </c>
    </row>
    <row r="934" spans="1:36" x14ac:dyDescent="0.2">
      <c r="A934" s="3" t="s">
        <v>75</v>
      </c>
      <c r="B934" s="3" t="s">
        <v>83</v>
      </c>
      <c r="C934" s="3" t="s">
        <v>85</v>
      </c>
      <c r="D934" s="3">
        <v>2</v>
      </c>
      <c r="E934" s="3">
        <v>2023</v>
      </c>
      <c r="F934" s="3">
        <v>1</v>
      </c>
      <c r="G934" s="3" t="s">
        <v>48</v>
      </c>
      <c r="H934" s="3" t="s">
        <v>46</v>
      </c>
      <c r="I934" s="5">
        <v>60638483.033</v>
      </c>
      <c r="J934" s="3">
        <v>2830546.0330000003</v>
      </c>
      <c r="K934" s="3">
        <v>57807937</v>
      </c>
      <c r="L934" s="3">
        <v>40463323.703999996</v>
      </c>
      <c r="M934" s="3">
        <v>17344613.295999996</v>
      </c>
      <c r="N934" s="3">
        <v>9248118.4440000001</v>
      </c>
      <c r="O934" s="3">
        <f t="shared" si="15"/>
        <v>15.99800810051395</v>
      </c>
      <c r="P934" s="3">
        <v>1344060</v>
      </c>
      <c r="Q934" s="3">
        <v>1415285.87</v>
      </c>
      <c r="R934" s="3">
        <v>2220618.1029999997</v>
      </c>
      <c r="S934" s="3">
        <v>273354.15899999999</v>
      </c>
      <c r="T934" s="3">
        <v>838885.98600000003</v>
      </c>
      <c r="U934" s="3">
        <v>1194790.5659999999</v>
      </c>
      <c r="V934" s="3">
        <v>1961123.7599999998</v>
      </c>
      <c r="W934" s="3">
        <v>0</v>
      </c>
      <c r="X934" s="3">
        <v>8096494.851999999</v>
      </c>
      <c r="Y934" s="3">
        <v>1166.8778037142285</v>
      </c>
      <c r="Z934" s="3">
        <v>1996617.3179999997</v>
      </c>
      <c r="AA934" s="3">
        <v>-1995450.4401962857</v>
      </c>
      <c r="AB934" s="3">
        <v>18373</v>
      </c>
      <c r="AC934" s="3">
        <v>18373</v>
      </c>
      <c r="AD934" s="3">
        <v>0</v>
      </c>
      <c r="AE934" s="3">
        <v>6101044.4118037149</v>
      </c>
      <c r="AF934" s="3">
        <v>0</v>
      </c>
      <c r="AG934" s="3">
        <v>6101044.4118037149</v>
      </c>
      <c r="AH934" s="3">
        <v>6101044.4118037149</v>
      </c>
      <c r="AI934" s="3">
        <v>60990000</v>
      </c>
      <c r="AJ934" s="3">
        <v>0</v>
      </c>
    </row>
    <row r="935" spans="1:36" x14ac:dyDescent="0.2">
      <c r="A935" s="3" t="s">
        <v>75</v>
      </c>
      <c r="B935" s="3" t="s">
        <v>83</v>
      </c>
      <c r="C935" s="3" t="s">
        <v>85</v>
      </c>
      <c r="D935" s="3">
        <v>1</v>
      </c>
      <c r="E935" s="3">
        <v>2023</v>
      </c>
      <c r="F935" s="3">
        <v>1</v>
      </c>
      <c r="G935" s="3" t="s">
        <v>39</v>
      </c>
      <c r="H935" s="3" t="s">
        <v>46</v>
      </c>
      <c r="I935" s="5">
        <v>367382091.42267877</v>
      </c>
      <c r="J935" s="3">
        <v>0</v>
      </c>
      <c r="K935" s="3">
        <v>367382091.42267877</v>
      </c>
      <c r="L935" s="3">
        <v>366691189.62421447</v>
      </c>
      <c r="M935" s="3">
        <v>690901.7984642334</v>
      </c>
      <c r="N935" s="3">
        <v>211383.63200000004</v>
      </c>
      <c r="O935" s="3">
        <f t="shared" si="15"/>
        <v>5.7537816059955935E-2</v>
      </c>
      <c r="P935" s="3">
        <v>18720</v>
      </c>
      <c r="Q935" s="3">
        <v>17164.112000000001</v>
      </c>
      <c r="R935" s="3">
        <v>66346.128000000012</v>
      </c>
      <c r="S935" s="3">
        <v>1804.5119999999999</v>
      </c>
      <c r="T935" s="3">
        <v>16609.52</v>
      </c>
      <c r="U935" s="3">
        <v>71214.656000000003</v>
      </c>
      <c r="V935" s="3">
        <v>19524.704000000002</v>
      </c>
      <c r="W935" s="3">
        <v>0</v>
      </c>
      <c r="X935" s="3">
        <v>479518.16646423336</v>
      </c>
      <c r="Y935" s="3">
        <v>0</v>
      </c>
      <c r="Z935" s="3">
        <v>19524.96</v>
      </c>
      <c r="AA935" s="3">
        <v>-19524.96</v>
      </c>
      <c r="AB935" s="3">
        <v>53600</v>
      </c>
      <c r="AC935" s="3">
        <v>27635.200000000001</v>
      </c>
      <c r="AD935" s="3">
        <v>25964.799999999999</v>
      </c>
      <c r="AE935" s="3">
        <v>485958.00646423339</v>
      </c>
      <c r="AF935" s="3">
        <v>0</v>
      </c>
      <c r="AG935" s="3">
        <v>485958.00646423339</v>
      </c>
      <c r="AH935" s="3">
        <v>485958.00646423339</v>
      </c>
      <c r="AI935" s="3">
        <v>919382091.42267883</v>
      </c>
      <c r="AJ935" s="3">
        <v>511728.44441519293</v>
      </c>
    </row>
    <row r="936" spans="1:36" x14ac:dyDescent="0.2">
      <c r="A936" s="3" t="s">
        <v>75</v>
      </c>
      <c r="B936" s="3" t="s">
        <v>83</v>
      </c>
      <c r="C936" s="3" t="s">
        <v>85</v>
      </c>
      <c r="D936" s="3">
        <v>2</v>
      </c>
      <c r="E936" s="3">
        <v>2023</v>
      </c>
      <c r="F936" s="3">
        <v>1</v>
      </c>
      <c r="G936" s="3" t="s">
        <v>39</v>
      </c>
      <c r="H936" s="3" t="s">
        <v>46</v>
      </c>
      <c r="I936" s="5">
        <v>622669055.29241419</v>
      </c>
      <c r="J936" s="3">
        <v>0</v>
      </c>
      <c r="K936" s="3">
        <v>622669055.29241419</v>
      </c>
      <c r="L936" s="3">
        <v>620416891.63308716</v>
      </c>
      <c r="M936" s="3">
        <v>2252163.6593269045</v>
      </c>
      <c r="N936" s="3">
        <v>338301.55200000003</v>
      </c>
      <c r="O936" s="3">
        <f t="shared" si="15"/>
        <v>5.4330875948400685E-2</v>
      </c>
      <c r="P936" s="3">
        <v>18720</v>
      </c>
      <c r="Q936" s="3">
        <v>18647.792000000001</v>
      </c>
      <c r="R936" s="3">
        <v>69987.888000000006</v>
      </c>
      <c r="S936" s="3">
        <v>1804.5119999999999</v>
      </c>
      <c r="T936" s="3">
        <v>14165.952000000001</v>
      </c>
      <c r="U936" s="3">
        <v>198431.16800000001</v>
      </c>
      <c r="V936" s="3">
        <v>16544.239999999998</v>
      </c>
      <c r="W936" s="3">
        <v>0</v>
      </c>
      <c r="X936" s="3">
        <v>1913862.1073269048</v>
      </c>
      <c r="Y936" s="3">
        <v>0</v>
      </c>
      <c r="Z936" s="3">
        <v>20049.12</v>
      </c>
      <c r="AA936" s="3">
        <v>-20049.12</v>
      </c>
      <c r="AB936" s="3">
        <v>235440</v>
      </c>
      <c r="AC936" s="3">
        <v>8534.4000000000015</v>
      </c>
      <c r="AD936" s="3">
        <v>226905.60000000001</v>
      </c>
      <c r="AE936" s="3">
        <v>2120718.5873269048</v>
      </c>
      <c r="AF936" s="3">
        <v>0</v>
      </c>
      <c r="AG936" s="3">
        <v>2120718.5873269048</v>
      </c>
      <c r="AH936" s="3">
        <v>2120718.5873269048</v>
      </c>
      <c r="AI936" s="3">
        <v>622669055.29241419</v>
      </c>
      <c r="AJ936" s="3">
        <v>511728.44441519293</v>
      </c>
    </row>
    <row r="937" spans="1:36" x14ac:dyDescent="0.2">
      <c r="A937" s="3" t="s">
        <v>75</v>
      </c>
      <c r="B937" s="3" t="s">
        <v>83</v>
      </c>
      <c r="C937" s="3" t="s">
        <v>85</v>
      </c>
      <c r="D937" s="3">
        <v>3</v>
      </c>
      <c r="E937" s="3">
        <v>2023</v>
      </c>
      <c r="F937" s="3">
        <v>1</v>
      </c>
      <c r="G937" s="3" t="s">
        <v>39</v>
      </c>
      <c r="H937" s="3" t="s">
        <v>46</v>
      </c>
      <c r="I937" s="5">
        <v>675265469.31103516</v>
      </c>
      <c r="J937" s="3">
        <v>0</v>
      </c>
      <c r="K937" s="3">
        <v>675265469.31103516</v>
      </c>
      <c r="L937" s="3">
        <v>672606160.1945281</v>
      </c>
      <c r="M937" s="3">
        <v>2659309.1165069579</v>
      </c>
      <c r="N937" s="3">
        <v>474594.45</v>
      </c>
      <c r="O937" s="3">
        <f t="shared" si="15"/>
        <v>7.0282647576252161E-2</v>
      </c>
      <c r="P937" s="3">
        <v>29250</v>
      </c>
      <c r="Q937" s="3">
        <v>30290.625</v>
      </c>
      <c r="R937" s="3">
        <v>94096.674999999988</v>
      </c>
      <c r="S937" s="3">
        <v>2819.5499999999997</v>
      </c>
      <c r="T937" s="3">
        <v>27794.575000000001</v>
      </c>
      <c r="U937" s="3">
        <v>265930.90000000002</v>
      </c>
      <c r="V937" s="3">
        <v>24412.125</v>
      </c>
      <c r="W937" s="3">
        <v>0</v>
      </c>
      <c r="X937" s="3">
        <v>2184714.6665069582</v>
      </c>
      <c r="Y937" s="3">
        <v>0</v>
      </c>
      <c r="Z937" s="3">
        <v>36089</v>
      </c>
      <c r="AA937" s="3">
        <v>-36089</v>
      </c>
      <c r="AB937" s="3">
        <v>5500</v>
      </c>
      <c r="AC937" s="3">
        <v>0</v>
      </c>
      <c r="AD937" s="3">
        <v>5500</v>
      </c>
      <c r="AE937" s="3">
        <v>2154125.6665069582</v>
      </c>
      <c r="AF937" s="3">
        <v>0</v>
      </c>
      <c r="AG937" s="3">
        <v>2154125.6665069582</v>
      </c>
      <c r="AH937" s="3">
        <v>2154125.6665069582</v>
      </c>
      <c r="AI937" s="3">
        <v>675265469.31103516</v>
      </c>
      <c r="AJ937" s="3">
        <v>799575.69439873891</v>
      </c>
    </row>
    <row r="938" spans="1:36" x14ac:dyDescent="0.2">
      <c r="A938" s="3" t="s">
        <v>75</v>
      </c>
      <c r="B938" s="3" t="s">
        <v>83</v>
      </c>
      <c r="C938" s="3" t="s">
        <v>86</v>
      </c>
      <c r="D938" s="3">
        <v>1</v>
      </c>
      <c r="E938" s="3">
        <v>2023</v>
      </c>
      <c r="F938" s="3">
        <v>1</v>
      </c>
      <c r="G938" s="3" t="s">
        <v>42</v>
      </c>
      <c r="H938" s="3" t="s">
        <v>40</v>
      </c>
      <c r="I938" s="5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 t="e">
        <f t="shared" si="15"/>
        <v>#DIV/0!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 s="3">
        <v>0</v>
      </c>
    </row>
    <row r="939" spans="1:36" x14ac:dyDescent="0.2">
      <c r="A939" s="3" t="s">
        <v>75</v>
      </c>
      <c r="B939" s="3" t="s">
        <v>83</v>
      </c>
      <c r="C939" s="3" t="s">
        <v>86</v>
      </c>
      <c r="D939" s="3">
        <v>1</v>
      </c>
      <c r="E939" s="3">
        <v>2023</v>
      </c>
      <c r="F939" s="3">
        <v>1</v>
      </c>
      <c r="G939" s="3" t="s">
        <v>39</v>
      </c>
      <c r="H939" s="3" t="s">
        <v>40</v>
      </c>
      <c r="I939" s="5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 t="e">
        <f t="shared" si="15"/>
        <v>#DIV/0!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0</v>
      </c>
      <c r="AJ939" s="3">
        <v>0</v>
      </c>
    </row>
    <row r="940" spans="1:36" x14ac:dyDescent="0.2">
      <c r="A940" s="3" t="s">
        <v>75</v>
      </c>
      <c r="B940" s="3" t="s">
        <v>83</v>
      </c>
      <c r="C940" s="3" t="s">
        <v>86</v>
      </c>
      <c r="D940" s="3">
        <v>2</v>
      </c>
      <c r="E940" s="3">
        <v>2023</v>
      </c>
      <c r="F940" s="3">
        <v>1</v>
      </c>
      <c r="G940" s="3" t="s">
        <v>42</v>
      </c>
      <c r="H940" s="3" t="s">
        <v>40</v>
      </c>
      <c r="I940" s="5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 t="e">
        <f t="shared" si="15"/>
        <v>#DIV/0!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3">
        <v>0</v>
      </c>
    </row>
    <row r="941" spans="1:36" x14ac:dyDescent="0.2">
      <c r="A941" s="3" t="s">
        <v>75</v>
      </c>
      <c r="B941" s="3" t="s">
        <v>83</v>
      </c>
      <c r="C941" s="3" t="s">
        <v>86</v>
      </c>
      <c r="D941" s="3">
        <v>2</v>
      </c>
      <c r="E941" s="3">
        <v>2023</v>
      </c>
      <c r="F941" s="3">
        <v>1</v>
      </c>
      <c r="G941" s="3" t="s">
        <v>39</v>
      </c>
      <c r="H941" s="3" t="s">
        <v>40</v>
      </c>
      <c r="I941" s="5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 t="e">
        <f t="shared" si="15"/>
        <v>#DIV/0!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s="3">
        <v>0</v>
      </c>
    </row>
    <row r="942" spans="1:36" x14ac:dyDescent="0.2">
      <c r="A942" s="3" t="s">
        <v>75</v>
      </c>
      <c r="B942" s="3" t="s">
        <v>83</v>
      </c>
      <c r="C942" s="3" t="s">
        <v>86</v>
      </c>
      <c r="D942" s="3">
        <v>3</v>
      </c>
      <c r="E942" s="3">
        <v>2023</v>
      </c>
      <c r="F942" s="3">
        <v>1</v>
      </c>
      <c r="G942" s="3" t="s">
        <v>42</v>
      </c>
      <c r="H942" s="3" t="s">
        <v>40</v>
      </c>
      <c r="I942" s="5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 t="e">
        <f t="shared" si="15"/>
        <v>#DIV/0!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</row>
    <row r="943" spans="1:36" x14ac:dyDescent="0.2">
      <c r="A943" s="3" t="s">
        <v>75</v>
      </c>
      <c r="B943" s="3" t="s">
        <v>83</v>
      </c>
      <c r="C943" s="3" t="s">
        <v>86</v>
      </c>
      <c r="D943" s="3">
        <v>3</v>
      </c>
      <c r="E943" s="3">
        <v>2023</v>
      </c>
      <c r="F943" s="3">
        <v>1</v>
      </c>
      <c r="G943" s="3" t="s">
        <v>39</v>
      </c>
      <c r="H943" s="3" t="s">
        <v>40</v>
      </c>
      <c r="I943" s="5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 t="e">
        <f t="shared" si="15"/>
        <v>#DIV/0!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</row>
    <row r="944" spans="1:36" x14ac:dyDescent="0.2">
      <c r="A944" s="3" t="s">
        <v>75</v>
      </c>
      <c r="B944" s="3" t="s">
        <v>83</v>
      </c>
      <c r="C944" s="3" t="s">
        <v>86</v>
      </c>
      <c r="D944" s="3">
        <v>3</v>
      </c>
      <c r="E944" s="3">
        <v>2023</v>
      </c>
      <c r="F944" s="3">
        <v>1</v>
      </c>
      <c r="G944" s="3" t="s">
        <v>42</v>
      </c>
      <c r="H944" s="3" t="s">
        <v>46</v>
      </c>
      <c r="I944" s="5">
        <v>1233400</v>
      </c>
      <c r="J944" s="3">
        <v>140350</v>
      </c>
      <c r="K944" s="3">
        <v>1093050</v>
      </c>
      <c r="L944" s="3">
        <v>740040</v>
      </c>
      <c r="M944" s="3">
        <v>353010</v>
      </c>
      <c r="N944" s="3">
        <v>493482.27500000002</v>
      </c>
      <c r="O944" s="3">
        <f t="shared" si="15"/>
        <v>45.147273683729019</v>
      </c>
      <c r="P944" s="3">
        <v>165373.02500000002</v>
      </c>
      <c r="Q944" s="3">
        <v>75764.675000000003</v>
      </c>
      <c r="R944" s="3">
        <v>101840.325</v>
      </c>
      <c r="S944" s="3">
        <v>61172.724999999999</v>
      </c>
      <c r="T944" s="3">
        <v>978.42499999999995</v>
      </c>
      <c r="U944" s="3">
        <v>35301</v>
      </c>
      <c r="V944" s="3">
        <v>53052.1</v>
      </c>
      <c r="W944" s="3">
        <v>0</v>
      </c>
      <c r="X944" s="3">
        <v>-140472.27500000002</v>
      </c>
      <c r="Y944" s="3">
        <v>0</v>
      </c>
      <c r="Z944" s="3">
        <v>40352.75</v>
      </c>
      <c r="AA944" s="3">
        <v>-40352.75</v>
      </c>
      <c r="AB944" s="3">
        <v>0</v>
      </c>
      <c r="AC944" s="3">
        <v>0</v>
      </c>
      <c r="AD944" s="3">
        <v>0</v>
      </c>
      <c r="AE944" s="3">
        <v>-180825.02499999999</v>
      </c>
      <c r="AF944" s="3">
        <v>0</v>
      </c>
      <c r="AG944" s="3">
        <v>-180825.02499999999</v>
      </c>
      <c r="AH944" s="3">
        <v>-180825.02499999999</v>
      </c>
      <c r="AI944" s="3">
        <v>1175000</v>
      </c>
      <c r="AJ944" s="3">
        <v>0</v>
      </c>
    </row>
    <row r="945" spans="1:36" x14ac:dyDescent="0.2">
      <c r="A945" s="3" t="s">
        <v>75</v>
      </c>
      <c r="B945" s="3" t="s">
        <v>83</v>
      </c>
      <c r="C945" s="3" t="s">
        <v>86</v>
      </c>
      <c r="D945" s="3">
        <v>2</v>
      </c>
      <c r="E945" s="3">
        <v>2023</v>
      </c>
      <c r="F945" s="3">
        <v>1</v>
      </c>
      <c r="G945" s="3" t="s">
        <v>42</v>
      </c>
      <c r="H945" s="3" t="s">
        <v>46</v>
      </c>
      <c r="I945" s="5">
        <v>1436760</v>
      </c>
      <c r="J945" s="3">
        <v>20064</v>
      </c>
      <c r="K945" s="3">
        <v>1416696</v>
      </c>
      <c r="L945" s="3">
        <v>862056</v>
      </c>
      <c r="M945" s="3">
        <v>554640</v>
      </c>
      <c r="N945" s="3">
        <v>625727.35199999996</v>
      </c>
      <c r="O945" s="3">
        <f t="shared" si="15"/>
        <v>44.168075013976178</v>
      </c>
      <c r="P945" s="3">
        <v>144231.74400000001</v>
      </c>
      <c r="Q945" s="3">
        <v>69487.823999999993</v>
      </c>
      <c r="R945" s="3">
        <v>109590.936</v>
      </c>
      <c r="S945" s="3">
        <v>77094.216</v>
      </c>
      <c r="T945" s="3">
        <v>118382.736</v>
      </c>
      <c r="U945" s="3">
        <v>55464</v>
      </c>
      <c r="V945" s="3">
        <v>51475.895999999993</v>
      </c>
      <c r="W945" s="3">
        <v>0</v>
      </c>
      <c r="X945" s="3">
        <v>-71087.351999999999</v>
      </c>
      <c r="Y945" s="3">
        <v>0</v>
      </c>
      <c r="Z945" s="3">
        <v>35097.456000000006</v>
      </c>
      <c r="AA945" s="3">
        <v>-35097.456000000006</v>
      </c>
      <c r="AB945" s="3">
        <v>0</v>
      </c>
      <c r="AC945" s="3">
        <v>0</v>
      </c>
      <c r="AD945" s="3">
        <v>0</v>
      </c>
      <c r="AE945" s="3">
        <v>-106184.80799999999</v>
      </c>
      <c r="AF945" s="3">
        <v>0</v>
      </c>
      <c r="AG945" s="3">
        <v>-106184.80799999999</v>
      </c>
      <c r="AH945" s="3">
        <v>-106184.80799999999</v>
      </c>
      <c r="AI945" s="3">
        <v>2208000</v>
      </c>
      <c r="AJ945" s="3">
        <v>0</v>
      </c>
    </row>
    <row r="946" spans="1:36" x14ac:dyDescent="0.2">
      <c r="A946" s="3" t="s">
        <v>75</v>
      </c>
      <c r="B946" s="3" t="s">
        <v>83</v>
      </c>
      <c r="C946" s="3" t="s">
        <v>86</v>
      </c>
      <c r="D946" s="3">
        <v>1</v>
      </c>
      <c r="E946" s="3">
        <v>2023</v>
      </c>
      <c r="F946" s="3">
        <v>1</v>
      </c>
      <c r="G946" s="3" t="s">
        <v>42</v>
      </c>
      <c r="H946" s="3" t="s">
        <v>46</v>
      </c>
      <c r="I946" s="5">
        <v>2168852</v>
      </c>
      <c r="J946" s="3">
        <v>88792.2</v>
      </c>
      <c r="K946" s="3">
        <v>2080059.8</v>
      </c>
      <c r="L946" s="3">
        <v>1301311.2</v>
      </c>
      <c r="M946" s="3">
        <v>778748.6</v>
      </c>
      <c r="N946" s="3">
        <v>654886.23600000003</v>
      </c>
      <c r="O946" s="3">
        <f t="shared" si="15"/>
        <v>31.484010027019416</v>
      </c>
      <c r="P946" s="3">
        <v>174280.02399999998</v>
      </c>
      <c r="Q946" s="3">
        <v>83964.453999999998</v>
      </c>
      <c r="R946" s="3">
        <v>136200.38500000001</v>
      </c>
      <c r="S946" s="3">
        <v>111566.451</v>
      </c>
      <c r="T946" s="3">
        <v>2647.7</v>
      </c>
      <c r="U946" s="3">
        <v>77874.86</v>
      </c>
      <c r="V946" s="3">
        <v>68352.362000000008</v>
      </c>
      <c r="W946" s="3">
        <v>0</v>
      </c>
      <c r="X946" s="3">
        <v>123862.364</v>
      </c>
      <c r="Y946" s="3">
        <v>0</v>
      </c>
      <c r="Z946" s="3">
        <v>42502.573999999993</v>
      </c>
      <c r="AA946" s="3">
        <v>-42502.573999999993</v>
      </c>
      <c r="AB946" s="3">
        <v>0</v>
      </c>
      <c r="AC946" s="3">
        <v>0</v>
      </c>
      <c r="AD946" s="3">
        <v>0</v>
      </c>
      <c r="AE946" s="3">
        <v>81359.790000000008</v>
      </c>
      <c r="AF946" s="3">
        <v>0</v>
      </c>
      <c r="AG946" s="3">
        <v>81359.790000000008</v>
      </c>
      <c r="AH946" s="3">
        <v>81359.790000000008</v>
      </c>
      <c r="AI946" s="3">
        <v>2320000</v>
      </c>
      <c r="AJ946" s="3">
        <v>0</v>
      </c>
    </row>
    <row r="947" spans="1:36" x14ac:dyDescent="0.2">
      <c r="A947" s="3" t="s">
        <v>75</v>
      </c>
      <c r="B947" s="3" t="s">
        <v>83</v>
      </c>
      <c r="C947" s="3" t="s">
        <v>86</v>
      </c>
      <c r="D947" s="3">
        <v>1</v>
      </c>
      <c r="E947" s="3">
        <v>2023</v>
      </c>
      <c r="F947" s="3">
        <v>1</v>
      </c>
      <c r="G947" s="3" t="s">
        <v>48</v>
      </c>
      <c r="H947" s="3" t="s">
        <v>46</v>
      </c>
      <c r="I947" s="5">
        <v>23500908</v>
      </c>
      <c r="J947" s="3">
        <v>413748</v>
      </c>
      <c r="K947" s="3">
        <v>23087160</v>
      </c>
      <c r="L947" s="3">
        <v>14523364.935000001</v>
      </c>
      <c r="M947" s="3">
        <v>8563795.0649999995</v>
      </c>
      <c r="N947" s="3">
        <v>12140246.547</v>
      </c>
      <c r="O947" s="3">
        <f t="shared" si="15"/>
        <v>52.584408593347987</v>
      </c>
      <c r="P947" s="3">
        <v>3858434.6490000002</v>
      </c>
      <c r="Q947" s="3">
        <v>1769155.7760000001</v>
      </c>
      <c r="R947" s="3">
        <v>3255982.2990000006</v>
      </c>
      <c r="S947" s="3">
        <v>283643.39700000006</v>
      </c>
      <c r="T947" s="3">
        <v>639435.43800000008</v>
      </c>
      <c r="U947" s="3">
        <v>570581.98200000008</v>
      </c>
      <c r="V947" s="3">
        <v>1763013.0060000001</v>
      </c>
      <c r="W947" s="3">
        <v>0</v>
      </c>
      <c r="X947" s="3">
        <v>-3576451.4820000008</v>
      </c>
      <c r="Y947" s="3">
        <v>795.63211427047122</v>
      </c>
      <c r="Z947" s="3">
        <v>943866.16200000001</v>
      </c>
      <c r="AA947" s="3">
        <v>-943070.52988572954</v>
      </c>
      <c r="AB947" s="3">
        <v>60750</v>
      </c>
      <c r="AC947" s="3">
        <v>60750</v>
      </c>
      <c r="AD947" s="3">
        <v>0</v>
      </c>
      <c r="AE947" s="3">
        <v>-4519522.0118857287</v>
      </c>
      <c r="AF947" s="3">
        <v>0</v>
      </c>
      <c r="AG947" s="3">
        <v>-4519522.0118857287</v>
      </c>
      <c r="AH947" s="3">
        <v>-4519522.0118857287</v>
      </c>
      <c r="AI947" s="3">
        <v>35910000</v>
      </c>
      <c r="AJ947" s="3">
        <v>0</v>
      </c>
    </row>
    <row r="948" spans="1:36" x14ac:dyDescent="0.2">
      <c r="A948" s="3" t="s">
        <v>75</v>
      </c>
      <c r="B948" s="3" t="s">
        <v>83</v>
      </c>
      <c r="C948" s="3" t="s">
        <v>86</v>
      </c>
      <c r="D948" s="3">
        <v>3</v>
      </c>
      <c r="E948" s="3">
        <v>2023</v>
      </c>
      <c r="F948" s="3">
        <v>1</v>
      </c>
      <c r="G948" s="3" t="s">
        <v>48</v>
      </c>
      <c r="H948" s="3" t="s">
        <v>46</v>
      </c>
      <c r="I948" s="5">
        <v>26740140</v>
      </c>
      <c r="J948" s="3">
        <v>1328187</v>
      </c>
      <c r="K948" s="3">
        <v>25411953</v>
      </c>
      <c r="L948" s="3">
        <v>16877480.634</v>
      </c>
      <c r="M948" s="3">
        <v>8534472.3660000004</v>
      </c>
      <c r="N948" s="3">
        <v>10251992.184</v>
      </c>
      <c r="O948" s="3">
        <f t="shared" si="15"/>
        <v>40.34318882928833</v>
      </c>
      <c r="P948" s="3">
        <v>3303233.8710000003</v>
      </c>
      <c r="Q948" s="3">
        <v>1363294.443</v>
      </c>
      <c r="R948" s="3">
        <v>2240978.5440000002</v>
      </c>
      <c r="S948" s="3">
        <v>413135.96100000001</v>
      </c>
      <c r="T948" s="3">
        <v>1133498.2890000001</v>
      </c>
      <c r="U948" s="3">
        <v>498534.79200000002</v>
      </c>
      <c r="V948" s="3">
        <v>1299316.284</v>
      </c>
      <c r="W948" s="3">
        <v>0</v>
      </c>
      <c r="X948" s="3">
        <v>-1717519.818</v>
      </c>
      <c r="Y948" s="3">
        <v>537.61540118837979</v>
      </c>
      <c r="Z948" s="3">
        <v>618295.16700000002</v>
      </c>
      <c r="AA948" s="3">
        <v>-617757.55159881175</v>
      </c>
      <c r="AB948" s="3">
        <v>70875</v>
      </c>
      <c r="AC948" s="3">
        <v>49875</v>
      </c>
      <c r="AD948" s="3">
        <v>21000</v>
      </c>
      <c r="AE948" s="3">
        <v>-2314277.369598812</v>
      </c>
      <c r="AF948" s="3">
        <v>0</v>
      </c>
      <c r="AG948" s="3">
        <v>-2314277.369598812</v>
      </c>
      <c r="AH948" s="3">
        <v>-2314277.369598812</v>
      </c>
      <c r="AI948" s="3">
        <v>29400000</v>
      </c>
      <c r="AJ948" s="3">
        <v>0</v>
      </c>
    </row>
    <row r="949" spans="1:36" x14ac:dyDescent="0.2">
      <c r="A949" s="3" t="s">
        <v>75</v>
      </c>
      <c r="B949" s="3" t="s">
        <v>83</v>
      </c>
      <c r="C949" s="3" t="s">
        <v>86</v>
      </c>
      <c r="D949" s="3">
        <v>2</v>
      </c>
      <c r="E949" s="3">
        <v>2023</v>
      </c>
      <c r="F949" s="3">
        <v>1</v>
      </c>
      <c r="G949" s="3" t="s">
        <v>48</v>
      </c>
      <c r="H949" s="3" t="s">
        <v>46</v>
      </c>
      <c r="I949" s="5">
        <v>45870293.783999994</v>
      </c>
      <c r="J949" s="3">
        <v>1857187.2239999999</v>
      </c>
      <c r="K949" s="3">
        <v>44013106.560000002</v>
      </c>
      <c r="L949" s="3">
        <v>28078677.743999999</v>
      </c>
      <c r="M949" s="3">
        <v>15934428.816</v>
      </c>
      <c r="N949" s="3">
        <v>11657289.408</v>
      </c>
      <c r="O949" s="3">
        <f t="shared" si="15"/>
        <v>26.485950025155415</v>
      </c>
      <c r="P949" s="3">
        <v>3429719.6880000001</v>
      </c>
      <c r="Q949" s="3">
        <v>1480842.9119999998</v>
      </c>
      <c r="R949" s="3">
        <v>2824404.6</v>
      </c>
      <c r="S949" s="3">
        <v>345159.33600000001</v>
      </c>
      <c r="T949" s="3">
        <v>924391.22399999993</v>
      </c>
      <c r="U949" s="3">
        <v>855211.03200000001</v>
      </c>
      <c r="V949" s="3">
        <v>1797560.6159999999</v>
      </c>
      <c r="W949" s="3">
        <v>0</v>
      </c>
      <c r="X949" s="3">
        <v>4277139.4080000008</v>
      </c>
      <c r="Y949" s="3">
        <v>1072.0061025830319</v>
      </c>
      <c r="Z949" s="3">
        <v>665318.25599999994</v>
      </c>
      <c r="AA949" s="3">
        <v>-664246.24989741703</v>
      </c>
      <c r="AB949" s="3">
        <v>104400</v>
      </c>
      <c r="AC949" s="3">
        <v>104400</v>
      </c>
      <c r="AD949" s="3">
        <v>0</v>
      </c>
      <c r="AE949" s="3">
        <v>3612893.1581025831</v>
      </c>
      <c r="AF949" s="3">
        <v>0</v>
      </c>
      <c r="AG949" s="3">
        <v>3612893.1581025831</v>
      </c>
      <c r="AH949" s="3">
        <v>3612893.1581025831</v>
      </c>
      <c r="AI949" s="3">
        <v>34800000</v>
      </c>
      <c r="AJ949" s="3">
        <v>0</v>
      </c>
    </row>
    <row r="950" spans="1:36" x14ac:dyDescent="0.2">
      <c r="A950" s="3" t="s">
        <v>75</v>
      </c>
      <c r="B950" s="3" t="s">
        <v>83</v>
      </c>
      <c r="C950" s="3" t="s">
        <v>86</v>
      </c>
      <c r="D950" s="3">
        <v>1</v>
      </c>
      <c r="E950" s="3">
        <v>2023</v>
      </c>
      <c r="F950" s="3">
        <v>1</v>
      </c>
      <c r="G950" s="3" t="s">
        <v>39</v>
      </c>
      <c r="H950" s="3" t="s">
        <v>46</v>
      </c>
      <c r="I950" s="5">
        <v>380660950.82214427</v>
      </c>
      <c r="J950" s="3">
        <v>0</v>
      </c>
      <c r="K950" s="3">
        <v>380660950.82214427</v>
      </c>
      <c r="L950" s="3">
        <v>379831918.1971854</v>
      </c>
      <c r="M950" s="3">
        <v>829032.62495896919</v>
      </c>
      <c r="N950" s="3">
        <v>308734.34400000004</v>
      </c>
      <c r="O950" s="3">
        <f t="shared" si="15"/>
        <v>8.1104810812141756E-2</v>
      </c>
      <c r="P950" s="3">
        <v>58573.836000000003</v>
      </c>
      <c r="Q950" s="3">
        <v>17038.457999999999</v>
      </c>
      <c r="R950" s="3">
        <v>99968.543999999994</v>
      </c>
      <c r="S950" s="3">
        <v>2537.6040000000003</v>
      </c>
      <c r="T950" s="3">
        <v>23407.848000000005</v>
      </c>
      <c r="U950" s="3">
        <v>84225.905999999988</v>
      </c>
      <c r="V950" s="3">
        <v>22982.148000000001</v>
      </c>
      <c r="W950" s="3">
        <v>0</v>
      </c>
      <c r="X950" s="3">
        <v>520298.28095896915</v>
      </c>
      <c r="Y950" s="3">
        <v>0</v>
      </c>
      <c r="Z950" s="3">
        <v>13758.66</v>
      </c>
      <c r="AA950" s="3">
        <v>-13758.66</v>
      </c>
      <c r="AB950" s="3">
        <v>43470</v>
      </c>
      <c r="AC950" s="3">
        <v>17373.599999999999</v>
      </c>
      <c r="AD950" s="3">
        <v>26096.399999999998</v>
      </c>
      <c r="AE950" s="3">
        <v>532636.02095896914</v>
      </c>
      <c r="AF950" s="3">
        <v>0</v>
      </c>
      <c r="AG950" s="3">
        <v>532636.02095896914</v>
      </c>
      <c r="AH950" s="3">
        <v>532636.02095896914</v>
      </c>
      <c r="AI950" s="3">
        <v>893660950.82214427</v>
      </c>
      <c r="AJ950" s="3">
        <v>505469.38281180459</v>
      </c>
    </row>
    <row r="951" spans="1:36" x14ac:dyDescent="0.2">
      <c r="A951" s="3" t="s">
        <v>75</v>
      </c>
      <c r="B951" s="3" t="s">
        <v>83</v>
      </c>
      <c r="C951" s="3" t="s">
        <v>86</v>
      </c>
      <c r="D951" s="3">
        <v>3</v>
      </c>
      <c r="E951" s="3">
        <v>2023</v>
      </c>
      <c r="F951" s="3">
        <v>1</v>
      </c>
      <c r="G951" s="3" t="s">
        <v>39</v>
      </c>
      <c r="H951" s="3" t="s">
        <v>46</v>
      </c>
      <c r="I951" s="5">
        <v>493236439.03830141</v>
      </c>
      <c r="J951" s="3">
        <v>0</v>
      </c>
      <c r="K951" s="3">
        <v>493236439.03830141</v>
      </c>
      <c r="L951" s="3">
        <v>491208764.14955688</v>
      </c>
      <c r="M951" s="3">
        <v>2027674.8887444991</v>
      </c>
      <c r="N951" s="3">
        <v>415082.08100000001</v>
      </c>
      <c r="O951" s="3">
        <f t="shared" si="15"/>
        <v>8.4154788281521828E-2</v>
      </c>
      <c r="P951" s="3">
        <v>60893.217999999993</v>
      </c>
      <c r="Q951" s="3">
        <v>17335.665000000001</v>
      </c>
      <c r="R951" s="3">
        <v>88238.67</v>
      </c>
      <c r="S951" s="3">
        <v>2396.6260000000002</v>
      </c>
      <c r="T951" s="3">
        <v>23729.416000000001</v>
      </c>
      <c r="U951" s="3">
        <v>202962.98300000001</v>
      </c>
      <c r="V951" s="3">
        <v>19525.503000000001</v>
      </c>
      <c r="W951" s="3">
        <v>0</v>
      </c>
      <c r="X951" s="3">
        <v>1612592.8077444991</v>
      </c>
      <c r="Y951" s="3">
        <v>0</v>
      </c>
      <c r="Z951" s="3">
        <v>54353.913</v>
      </c>
      <c r="AA951" s="3">
        <v>-54353.913</v>
      </c>
      <c r="AB951" s="3">
        <v>13005</v>
      </c>
      <c r="AC951" s="3">
        <v>0</v>
      </c>
      <c r="AD951" s="3">
        <v>13005</v>
      </c>
      <c r="AE951" s="3">
        <v>1571243.8947444991</v>
      </c>
      <c r="AF951" s="3">
        <v>0</v>
      </c>
      <c r="AG951" s="3">
        <v>1571243.8947444991</v>
      </c>
      <c r="AH951" s="3">
        <v>1571243.8947444991</v>
      </c>
      <c r="AI951" s="3">
        <v>493236439.03830141</v>
      </c>
      <c r="AJ951" s="3">
        <v>477387.75043337094</v>
      </c>
    </row>
    <row r="952" spans="1:36" x14ac:dyDescent="0.2">
      <c r="A952" s="3" t="s">
        <v>75</v>
      </c>
      <c r="B952" s="3" t="s">
        <v>83</v>
      </c>
      <c r="C952" s="3" t="s">
        <v>86</v>
      </c>
      <c r="D952" s="3">
        <v>2</v>
      </c>
      <c r="E952" s="3">
        <v>2023</v>
      </c>
      <c r="F952" s="3">
        <v>1</v>
      </c>
      <c r="G952" s="3" t="s">
        <v>39</v>
      </c>
      <c r="H952" s="3" t="s">
        <v>46</v>
      </c>
      <c r="I952" s="5">
        <v>1148976598.6393237</v>
      </c>
      <c r="J952" s="3">
        <v>0</v>
      </c>
      <c r="K952" s="3">
        <v>1148976598.6393237</v>
      </c>
      <c r="L952" s="3">
        <v>1145318341.6046188</v>
      </c>
      <c r="M952" s="3">
        <v>3658257.0347049558</v>
      </c>
      <c r="N952" s="3">
        <v>701166.69800000009</v>
      </c>
      <c r="O952" s="3">
        <f t="shared" si="15"/>
        <v>6.1025324521870782E-2</v>
      </c>
      <c r="P952" s="3">
        <v>94368.957999999984</v>
      </c>
      <c r="Q952" s="3">
        <v>27450.848999999998</v>
      </c>
      <c r="R952" s="3">
        <v>169288.22499999998</v>
      </c>
      <c r="S952" s="3">
        <v>4088.3620000000001</v>
      </c>
      <c r="T952" s="3">
        <v>31977.951999999997</v>
      </c>
      <c r="U952" s="3">
        <v>340298.00600000005</v>
      </c>
      <c r="V952" s="3">
        <v>33694.345999999998</v>
      </c>
      <c r="W952" s="3">
        <v>0</v>
      </c>
      <c r="X952" s="3">
        <v>2957090.3367049554</v>
      </c>
      <c r="Y952" s="3">
        <v>0</v>
      </c>
      <c r="Z952" s="3">
        <v>22761.81</v>
      </c>
      <c r="AA952" s="3">
        <v>-22761.81</v>
      </c>
      <c r="AB952" s="3">
        <v>116870</v>
      </c>
      <c r="AC952" s="3">
        <v>28727.399999999998</v>
      </c>
      <c r="AD952" s="3">
        <v>88142.6</v>
      </c>
      <c r="AE952" s="3">
        <v>3022471.1267049559</v>
      </c>
      <c r="AF952" s="3">
        <v>0</v>
      </c>
      <c r="AG952" s="3">
        <v>3022471.1267049559</v>
      </c>
      <c r="AH952" s="3">
        <v>3022471.1267049559</v>
      </c>
      <c r="AI952" s="3">
        <v>1148976598.6393237</v>
      </c>
      <c r="AJ952" s="3">
        <v>814367.33897457412</v>
      </c>
    </row>
    <row r="953" spans="1:36" x14ac:dyDescent="0.2">
      <c r="A953" s="3" t="s">
        <v>75</v>
      </c>
      <c r="B953" s="3" t="s">
        <v>83</v>
      </c>
      <c r="C953" s="3" t="s">
        <v>87</v>
      </c>
      <c r="D953" s="3">
        <v>1</v>
      </c>
      <c r="E953" s="3">
        <v>2023</v>
      </c>
      <c r="F953" s="3">
        <v>1</v>
      </c>
      <c r="G953" s="3" t="s">
        <v>42</v>
      </c>
      <c r="H953" s="3" t="s">
        <v>46</v>
      </c>
      <c r="I953" s="5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 t="e">
        <f t="shared" si="15"/>
        <v>#DIV/0!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0</v>
      </c>
      <c r="AJ953" s="3">
        <v>0</v>
      </c>
    </row>
    <row r="954" spans="1:36" x14ac:dyDescent="0.2">
      <c r="A954" s="3" t="s">
        <v>75</v>
      </c>
      <c r="B954" s="3" t="s">
        <v>83</v>
      </c>
      <c r="C954" s="3" t="s">
        <v>87</v>
      </c>
      <c r="D954" s="3">
        <v>1</v>
      </c>
      <c r="E954" s="3">
        <v>2023</v>
      </c>
      <c r="F954" s="3">
        <v>1</v>
      </c>
      <c r="G954" s="3" t="s">
        <v>42</v>
      </c>
      <c r="H954" s="3" t="s">
        <v>40</v>
      </c>
      <c r="I954" s="5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 t="e">
        <f t="shared" si="15"/>
        <v>#DIV/0!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 s="3">
        <v>0</v>
      </c>
    </row>
    <row r="955" spans="1:36" x14ac:dyDescent="0.2">
      <c r="A955" s="3" t="s">
        <v>75</v>
      </c>
      <c r="B955" s="3" t="s">
        <v>83</v>
      </c>
      <c r="C955" s="3" t="s">
        <v>87</v>
      </c>
      <c r="D955" s="3">
        <v>1</v>
      </c>
      <c r="E955" s="3">
        <v>2023</v>
      </c>
      <c r="F955" s="3">
        <v>1</v>
      </c>
      <c r="G955" s="3" t="s">
        <v>48</v>
      </c>
      <c r="H955" s="3" t="s">
        <v>46</v>
      </c>
      <c r="I955" s="5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 t="e">
        <f t="shared" si="15"/>
        <v>#DIV/0!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0</v>
      </c>
      <c r="AJ955" s="3">
        <v>0</v>
      </c>
    </row>
    <row r="956" spans="1:36" x14ac:dyDescent="0.2">
      <c r="A956" s="3" t="s">
        <v>75</v>
      </c>
      <c r="B956" s="3" t="s">
        <v>83</v>
      </c>
      <c r="C956" s="3" t="s">
        <v>87</v>
      </c>
      <c r="D956" s="3">
        <v>1</v>
      </c>
      <c r="E956" s="3">
        <v>2023</v>
      </c>
      <c r="F956" s="3">
        <v>1</v>
      </c>
      <c r="G956" s="3" t="s">
        <v>39</v>
      </c>
      <c r="H956" s="3" t="s">
        <v>46</v>
      </c>
      <c r="I956" s="5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 t="e">
        <f t="shared" si="15"/>
        <v>#DIV/0!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</row>
    <row r="957" spans="1:36" x14ac:dyDescent="0.2">
      <c r="A957" s="3" t="s">
        <v>75</v>
      </c>
      <c r="B957" s="3" t="s">
        <v>83</v>
      </c>
      <c r="C957" s="3" t="s">
        <v>87</v>
      </c>
      <c r="D957" s="3">
        <v>1</v>
      </c>
      <c r="E957" s="3">
        <v>2023</v>
      </c>
      <c r="F957" s="3">
        <v>1</v>
      </c>
      <c r="G957" s="3" t="s">
        <v>39</v>
      </c>
      <c r="H957" s="3" t="s">
        <v>40</v>
      </c>
      <c r="I957" s="5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 t="e">
        <f t="shared" si="15"/>
        <v>#DIV/0!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  <c r="AJ957" s="3">
        <v>0</v>
      </c>
    </row>
    <row r="958" spans="1:36" x14ac:dyDescent="0.2">
      <c r="A958" s="3" t="s">
        <v>75</v>
      </c>
      <c r="B958" s="3" t="s">
        <v>83</v>
      </c>
      <c r="C958" s="3" t="s">
        <v>87</v>
      </c>
      <c r="D958" s="3">
        <v>2</v>
      </c>
      <c r="E958" s="3">
        <v>2023</v>
      </c>
      <c r="F958" s="3">
        <v>1</v>
      </c>
      <c r="G958" s="3" t="s">
        <v>42</v>
      </c>
      <c r="H958" s="3" t="s">
        <v>46</v>
      </c>
      <c r="I958" s="5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 t="e">
        <f t="shared" si="15"/>
        <v>#DIV/0!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 s="3">
        <v>0</v>
      </c>
    </row>
    <row r="959" spans="1:36" x14ac:dyDescent="0.2">
      <c r="A959" s="3" t="s">
        <v>75</v>
      </c>
      <c r="B959" s="3" t="s">
        <v>83</v>
      </c>
      <c r="C959" s="3" t="s">
        <v>87</v>
      </c>
      <c r="D959" s="3">
        <v>2</v>
      </c>
      <c r="E959" s="3">
        <v>2023</v>
      </c>
      <c r="F959" s="3">
        <v>1</v>
      </c>
      <c r="G959" s="3" t="s">
        <v>42</v>
      </c>
      <c r="H959" s="3" t="s">
        <v>40</v>
      </c>
      <c r="I959" s="5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 t="e">
        <f t="shared" si="15"/>
        <v>#DIV/0!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  <c r="AJ959" s="3">
        <v>0</v>
      </c>
    </row>
    <row r="960" spans="1:36" x14ac:dyDescent="0.2">
      <c r="A960" s="3" t="s">
        <v>75</v>
      </c>
      <c r="B960" s="3" t="s">
        <v>83</v>
      </c>
      <c r="C960" s="3" t="s">
        <v>87</v>
      </c>
      <c r="D960" s="3">
        <v>2</v>
      </c>
      <c r="E960" s="3">
        <v>2023</v>
      </c>
      <c r="F960" s="3">
        <v>1</v>
      </c>
      <c r="G960" s="3" t="s">
        <v>48</v>
      </c>
      <c r="H960" s="3" t="s">
        <v>46</v>
      </c>
      <c r="I960" s="5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 t="e">
        <f t="shared" ref="O960:O1023" si="16">N960/K960*100</f>
        <v>#DIV/0!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  <c r="AF960" s="3">
        <v>0</v>
      </c>
      <c r="AG960" s="3">
        <v>0</v>
      </c>
      <c r="AH960" s="3">
        <v>0</v>
      </c>
      <c r="AI960" s="3">
        <v>0</v>
      </c>
      <c r="AJ960" s="3">
        <v>0</v>
      </c>
    </row>
    <row r="961" spans="1:36" x14ac:dyDescent="0.2">
      <c r="A961" s="3" t="s">
        <v>75</v>
      </c>
      <c r="B961" s="3" t="s">
        <v>83</v>
      </c>
      <c r="C961" s="3" t="s">
        <v>87</v>
      </c>
      <c r="D961" s="3">
        <v>2</v>
      </c>
      <c r="E961" s="3">
        <v>2023</v>
      </c>
      <c r="F961" s="3">
        <v>1</v>
      </c>
      <c r="G961" s="3" t="s">
        <v>39</v>
      </c>
      <c r="H961" s="3" t="s">
        <v>46</v>
      </c>
      <c r="I961" s="5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 t="e">
        <f t="shared" si="16"/>
        <v>#DIV/0!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</row>
    <row r="962" spans="1:36" x14ac:dyDescent="0.2">
      <c r="A962" s="3" t="s">
        <v>75</v>
      </c>
      <c r="B962" s="3" t="s">
        <v>83</v>
      </c>
      <c r="C962" s="3" t="s">
        <v>87</v>
      </c>
      <c r="D962" s="3">
        <v>2</v>
      </c>
      <c r="E962" s="3">
        <v>2023</v>
      </c>
      <c r="F962" s="3">
        <v>1</v>
      </c>
      <c r="G962" s="3" t="s">
        <v>39</v>
      </c>
      <c r="H962" s="3" t="s">
        <v>40</v>
      </c>
      <c r="I962" s="5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 t="e">
        <f t="shared" si="16"/>
        <v>#DIV/0!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0</v>
      </c>
      <c r="AJ962" s="3">
        <v>0</v>
      </c>
    </row>
    <row r="963" spans="1:36" x14ac:dyDescent="0.2">
      <c r="A963" s="3" t="s">
        <v>75</v>
      </c>
      <c r="B963" s="3" t="s">
        <v>83</v>
      </c>
      <c r="C963" s="3" t="s">
        <v>87</v>
      </c>
      <c r="D963" s="3">
        <v>3</v>
      </c>
      <c r="E963" s="3">
        <v>2023</v>
      </c>
      <c r="F963" s="3">
        <v>1</v>
      </c>
      <c r="G963" s="3" t="s">
        <v>42</v>
      </c>
      <c r="H963" s="3" t="s">
        <v>46</v>
      </c>
      <c r="I963" s="5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 t="e">
        <f t="shared" si="16"/>
        <v>#DIV/0!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0</v>
      </c>
      <c r="AJ963" s="3">
        <v>0</v>
      </c>
    </row>
    <row r="964" spans="1:36" x14ac:dyDescent="0.2">
      <c r="A964" s="3" t="s">
        <v>75</v>
      </c>
      <c r="B964" s="3" t="s">
        <v>83</v>
      </c>
      <c r="C964" s="3" t="s">
        <v>87</v>
      </c>
      <c r="D964" s="3">
        <v>3</v>
      </c>
      <c r="E964" s="3">
        <v>2023</v>
      </c>
      <c r="F964" s="3">
        <v>1</v>
      </c>
      <c r="G964" s="3" t="s">
        <v>42</v>
      </c>
      <c r="H964" s="3" t="s">
        <v>40</v>
      </c>
      <c r="I964" s="5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 t="e">
        <f t="shared" si="16"/>
        <v>#DIV/0!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  <c r="AJ964" s="3">
        <v>0</v>
      </c>
    </row>
    <row r="965" spans="1:36" x14ac:dyDescent="0.2">
      <c r="A965" s="3" t="s">
        <v>75</v>
      </c>
      <c r="B965" s="3" t="s">
        <v>83</v>
      </c>
      <c r="C965" s="3" t="s">
        <v>87</v>
      </c>
      <c r="D965" s="3">
        <v>3</v>
      </c>
      <c r="E965" s="3">
        <v>2023</v>
      </c>
      <c r="F965" s="3">
        <v>1</v>
      </c>
      <c r="G965" s="3" t="s">
        <v>48</v>
      </c>
      <c r="H965" s="3" t="s">
        <v>46</v>
      </c>
      <c r="I965" s="5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 t="e">
        <f t="shared" si="16"/>
        <v>#DIV/0!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0</v>
      </c>
      <c r="AJ965" s="3">
        <v>0</v>
      </c>
    </row>
    <row r="966" spans="1:36" x14ac:dyDescent="0.2">
      <c r="A966" s="3" t="s">
        <v>75</v>
      </c>
      <c r="B966" s="3" t="s">
        <v>83</v>
      </c>
      <c r="C966" s="3" t="s">
        <v>87</v>
      </c>
      <c r="D966" s="3">
        <v>3</v>
      </c>
      <c r="E966" s="3">
        <v>2023</v>
      </c>
      <c r="F966" s="3">
        <v>1</v>
      </c>
      <c r="G966" s="3" t="s">
        <v>39</v>
      </c>
      <c r="H966" s="3" t="s">
        <v>46</v>
      </c>
      <c r="I966" s="5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 t="e">
        <f t="shared" si="16"/>
        <v>#DIV/0!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s="3">
        <v>0</v>
      </c>
    </row>
    <row r="967" spans="1:36" x14ac:dyDescent="0.2">
      <c r="A967" s="3" t="s">
        <v>75</v>
      </c>
      <c r="B967" s="3" t="s">
        <v>83</v>
      </c>
      <c r="C967" s="3" t="s">
        <v>87</v>
      </c>
      <c r="D967" s="3">
        <v>3</v>
      </c>
      <c r="E967" s="3">
        <v>2023</v>
      </c>
      <c r="F967" s="3">
        <v>1</v>
      </c>
      <c r="G967" s="3" t="s">
        <v>39</v>
      </c>
      <c r="H967" s="3" t="s">
        <v>40</v>
      </c>
      <c r="I967" s="5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 t="e">
        <f t="shared" si="16"/>
        <v>#DIV/0!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0</v>
      </c>
      <c r="AE967" s="3">
        <v>0</v>
      </c>
      <c r="AF967" s="3">
        <v>0</v>
      </c>
      <c r="AG967" s="3">
        <v>0</v>
      </c>
      <c r="AH967" s="3">
        <v>0</v>
      </c>
      <c r="AI967" s="3">
        <v>0</v>
      </c>
      <c r="AJ967" s="3">
        <v>0</v>
      </c>
    </row>
    <row r="968" spans="1:36" x14ac:dyDescent="0.2">
      <c r="A968" s="3" t="s">
        <v>75</v>
      </c>
      <c r="B968" s="3" t="s">
        <v>83</v>
      </c>
      <c r="C968" s="3" t="s">
        <v>88</v>
      </c>
      <c r="D968" s="3">
        <v>1</v>
      </c>
      <c r="E968" s="3">
        <v>2023</v>
      </c>
      <c r="F968" s="3">
        <v>1</v>
      </c>
      <c r="G968" s="3" t="s">
        <v>42</v>
      </c>
      <c r="H968" s="3" t="s">
        <v>40</v>
      </c>
      <c r="I968" s="5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 t="e">
        <f t="shared" si="16"/>
        <v>#DIV/0!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3">
        <v>0</v>
      </c>
      <c r="AF968" s="3">
        <v>0</v>
      </c>
      <c r="AG968" s="3">
        <v>0</v>
      </c>
      <c r="AH968" s="3">
        <v>0</v>
      </c>
      <c r="AI968" s="3">
        <v>0</v>
      </c>
      <c r="AJ968" s="3">
        <v>0</v>
      </c>
    </row>
    <row r="969" spans="1:36" x14ac:dyDescent="0.2">
      <c r="A969" s="3" t="s">
        <v>75</v>
      </c>
      <c r="B969" s="3" t="s">
        <v>83</v>
      </c>
      <c r="C969" s="3" t="s">
        <v>88</v>
      </c>
      <c r="D969" s="3">
        <v>1</v>
      </c>
      <c r="E969" s="3">
        <v>2023</v>
      </c>
      <c r="F969" s="3">
        <v>1</v>
      </c>
      <c r="G969" s="3" t="s">
        <v>39</v>
      </c>
      <c r="H969" s="3" t="s">
        <v>40</v>
      </c>
      <c r="I969" s="5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 t="e">
        <f t="shared" si="16"/>
        <v>#DIV/0!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0</v>
      </c>
      <c r="AJ969" s="3">
        <v>0</v>
      </c>
    </row>
    <row r="970" spans="1:36" x14ac:dyDescent="0.2">
      <c r="A970" s="3" t="s">
        <v>75</v>
      </c>
      <c r="B970" s="3" t="s">
        <v>83</v>
      </c>
      <c r="C970" s="3" t="s">
        <v>88</v>
      </c>
      <c r="D970" s="3">
        <v>2</v>
      </c>
      <c r="E970" s="3">
        <v>2023</v>
      </c>
      <c r="F970" s="3">
        <v>1</v>
      </c>
      <c r="G970" s="3" t="s">
        <v>42</v>
      </c>
      <c r="H970" s="3" t="s">
        <v>40</v>
      </c>
      <c r="I970" s="5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 t="e">
        <f t="shared" si="16"/>
        <v>#DIV/0!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3">
        <v>0</v>
      </c>
    </row>
    <row r="971" spans="1:36" x14ac:dyDescent="0.2">
      <c r="A971" s="3" t="s">
        <v>75</v>
      </c>
      <c r="B971" s="3" t="s">
        <v>83</v>
      </c>
      <c r="C971" s="3" t="s">
        <v>88</v>
      </c>
      <c r="D971" s="3">
        <v>2</v>
      </c>
      <c r="E971" s="3">
        <v>2023</v>
      </c>
      <c r="F971" s="3">
        <v>1</v>
      </c>
      <c r="G971" s="3" t="s">
        <v>39</v>
      </c>
      <c r="H971" s="3" t="s">
        <v>40</v>
      </c>
      <c r="I971" s="5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 t="e">
        <f t="shared" si="16"/>
        <v>#DIV/0!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0</v>
      </c>
      <c r="AH971" s="3">
        <v>0</v>
      </c>
      <c r="AI971" s="3">
        <v>0</v>
      </c>
      <c r="AJ971" s="3">
        <v>0</v>
      </c>
    </row>
    <row r="972" spans="1:36" x14ac:dyDescent="0.2">
      <c r="A972" s="3" t="s">
        <v>75</v>
      </c>
      <c r="B972" s="3" t="s">
        <v>83</v>
      </c>
      <c r="C972" s="3" t="s">
        <v>88</v>
      </c>
      <c r="D972" s="3">
        <v>3</v>
      </c>
      <c r="E972" s="3">
        <v>2023</v>
      </c>
      <c r="F972" s="3">
        <v>1</v>
      </c>
      <c r="G972" s="3" t="s">
        <v>42</v>
      </c>
      <c r="H972" s="3" t="s">
        <v>40</v>
      </c>
      <c r="I972" s="5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 t="e">
        <f t="shared" si="16"/>
        <v>#DIV/0!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0</v>
      </c>
      <c r="AJ972" s="3">
        <v>0</v>
      </c>
    </row>
    <row r="973" spans="1:36" x14ac:dyDescent="0.2">
      <c r="A973" s="3" t="s">
        <v>75</v>
      </c>
      <c r="B973" s="3" t="s">
        <v>83</v>
      </c>
      <c r="C973" s="3" t="s">
        <v>88</v>
      </c>
      <c r="D973" s="3">
        <v>3</v>
      </c>
      <c r="E973" s="3">
        <v>2023</v>
      </c>
      <c r="F973" s="3">
        <v>1</v>
      </c>
      <c r="G973" s="3" t="s">
        <v>39</v>
      </c>
      <c r="H973" s="3" t="s">
        <v>40</v>
      </c>
      <c r="I973" s="5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 t="e">
        <f t="shared" si="16"/>
        <v>#DIV/0!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</row>
    <row r="974" spans="1:36" x14ac:dyDescent="0.2">
      <c r="A974" s="3" t="s">
        <v>75</v>
      </c>
      <c r="B974" s="3" t="s">
        <v>83</v>
      </c>
      <c r="C974" s="3" t="s">
        <v>88</v>
      </c>
      <c r="D974" s="3">
        <v>3</v>
      </c>
      <c r="E974" s="3">
        <v>2023</v>
      </c>
      <c r="F974" s="3">
        <v>1</v>
      </c>
      <c r="G974" s="3" t="s">
        <v>42</v>
      </c>
      <c r="H974" s="3" t="s">
        <v>46</v>
      </c>
      <c r="I974" s="5">
        <v>85920</v>
      </c>
      <c r="J974" s="3">
        <v>21480</v>
      </c>
      <c r="K974" s="3">
        <v>64440</v>
      </c>
      <c r="L974" s="3">
        <v>51552</v>
      </c>
      <c r="M974" s="3">
        <v>12888</v>
      </c>
      <c r="N974" s="3">
        <v>207296.4</v>
      </c>
      <c r="O974" s="3">
        <f t="shared" si="16"/>
        <v>321.68901303538172</v>
      </c>
      <c r="P974" s="3">
        <v>62462.399999999994</v>
      </c>
      <c r="Q974" s="3">
        <v>40670.520000000004</v>
      </c>
      <c r="R974" s="3">
        <v>57001.008000000002</v>
      </c>
      <c r="S974" s="3">
        <v>6739.7040000000006</v>
      </c>
      <c r="T974" s="3">
        <v>410.928</v>
      </c>
      <c r="U974" s="3">
        <v>1288.8</v>
      </c>
      <c r="V974" s="3">
        <v>38723.040000000001</v>
      </c>
      <c r="W974" s="3">
        <v>0</v>
      </c>
      <c r="X974" s="3">
        <v>-194408.4</v>
      </c>
      <c r="Y974" s="3">
        <v>0</v>
      </c>
      <c r="Z974" s="3">
        <v>27010.247999999996</v>
      </c>
      <c r="AA974" s="3">
        <v>-27010.247999999996</v>
      </c>
      <c r="AB974" s="3">
        <v>0</v>
      </c>
      <c r="AC974" s="3">
        <v>0</v>
      </c>
      <c r="AD974" s="3">
        <v>0</v>
      </c>
      <c r="AE974" s="3">
        <v>-221418.64799999999</v>
      </c>
      <c r="AF974" s="3">
        <v>0</v>
      </c>
      <c r="AG974" s="3">
        <v>-221418.64799999999</v>
      </c>
      <c r="AH974" s="3">
        <v>-221418.64799999999</v>
      </c>
      <c r="AI974" s="3">
        <v>480000</v>
      </c>
      <c r="AJ974" s="3">
        <v>0</v>
      </c>
    </row>
    <row r="975" spans="1:36" x14ac:dyDescent="0.2">
      <c r="A975" s="3" t="s">
        <v>75</v>
      </c>
      <c r="B975" s="3" t="s">
        <v>83</v>
      </c>
      <c r="C975" s="3" t="s">
        <v>88</v>
      </c>
      <c r="D975" s="3">
        <v>1</v>
      </c>
      <c r="E975" s="3">
        <v>2023</v>
      </c>
      <c r="F975" s="3">
        <v>1</v>
      </c>
      <c r="G975" s="3" t="s">
        <v>42</v>
      </c>
      <c r="H975" s="3" t="s">
        <v>46</v>
      </c>
      <c r="I975" s="5">
        <v>260100</v>
      </c>
      <c r="J975" s="3">
        <v>6090</v>
      </c>
      <c r="K975" s="3">
        <v>254010</v>
      </c>
      <c r="L975" s="3">
        <v>156060</v>
      </c>
      <c r="M975" s="3">
        <v>97950</v>
      </c>
      <c r="N975" s="3">
        <v>157065.255</v>
      </c>
      <c r="O975" s="3">
        <f t="shared" si="16"/>
        <v>61.834280146450929</v>
      </c>
      <c r="P975" s="3">
        <v>39039</v>
      </c>
      <c r="Q975" s="3">
        <v>24171.72</v>
      </c>
      <c r="R975" s="3">
        <v>43729.77</v>
      </c>
      <c r="S975" s="3">
        <v>14392.23</v>
      </c>
      <c r="T975" s="3">
        <v>608.68499999999995</v>
      </c>
      <c r="U975" s="3">
        <v>9795</v>
      </c>
      <c r="V975" s="3">
        <v>25328.850000000002</v>
      </c>
      <c r="W975" s="3">
        <v>0</v>
      </c>
      <c r="X975" s="3">
        <v>-59115.254999999997</v>
      </c>
      <c r="Y975" s="3">
        <v>0</v>
      </c>
      <c r="Z975" s="3">
        <v>17421.494999999999</v>
      </c>
      <c r="AA975" s="3">
        <v>-17421.494999999999</v>
      </c>
      <c r="AB975" s="3">
        <v>0</v>
      </c>
      <c r="AC975" s="3">
        <v>0</v>
      </c>
      <c r="AD975" s="3">
        <v>0</v>
      </c>
      <c r="AE975" s="3">
        <v>-76536.75</v>
      </c>
      <c r="AF975" s="3">
        <v>0</v>
      </c>
      <c r="AG975" s="3">
        <v>-76536.75</v>
      </c>
      <c r="AH975" s="3">
        <v>-76536.75</v>
      </c>
      <c r="AI975" s="3">
        <v>255000</v>
      </c>
      <c r="AJ975" s="3">
        <v>0</v>
      </c>
    </row>
    <row r="976" spans="1:36" x14ac:dyDescent="0.2">
      <c r="A976" s="3" t="s">
        <v>75</v>
      </c>
      <c r="B976" s="3" t="s">
        <v>83</v>
      </c>
      <c r="C976" s="3" t="s">
        <v>88</v>
      </c>
      <c r="D976" s="3">
        <v>2</v>
      </c>
      <c r="E976" s="3">
        <v>2023</v>
      </c>
      <c r="F976" s="3">
        <v>1</v>
      </c>
      <c r="G976" s="3" t="s">
        <v>42</v>
      </c>
      <c r="H976" s="3" t="s">
        <v>46</v>
      </c>
      <c r="I976" s="5">
        <v>931140</v>
      </c>
      <c r="J976" s="3">
        <v>22260</v>
      </c>
      <c r="K976" s="3">
        <v>908880</v>
      </c>
      <c r="L976" s="3">
        <v>561084</v>
      </c>
      <c r="M976" s="3">
        <v>347796</v>
      </c>
      <c r="N976" s="3">
        <v>427353.39</v>
      </c>
      <c r="O976" s="3">
        <f t="shared" si="16"/>
        <v>47.019781489305515</v>
      </c>
      <c r="P976" s="3">
        <v>78078</v>
      </c>
      <c r="Q976" s="3">
        <v>48343.44</v>
      </c>
      <c r="R976" s="3">
        <v>84388.169999999984</v>
      </c>
      <c r="S976" s="3">
        <v>48827.46</v>
      </c>
      <c r="T976" s="3">
        <v>94273.59</v>
      </c>
      <c r="U976" s="3">
        <v>34779.599999999999</v>
      </c>
      <c r="V976" s="3">
        <v>38663.130000000005</v>
      </c>
      <c r="W976" s="3">
        <v>0</v>
      </c>
      <c r="X976" s="3">
        <v>-79557.39</v>
      </c>
      <c r="Y976" s="3">
        <v>0</v>
      </c>
      <c r="Z976" s="3">
        <v>34223.879999999997</v>
      </c>
      <c r="AA976" s="3">
        <v>-34223.879999999997</v>
      </c>
      <c r="AB976" s="3">
        <v>0</v>
      </c>
      <c r="AC976" s="3">
        <v>0</v>
      </c>
      <c r="AD976" s="3">
        <v>0</v>
      </c>
      <c r="AE976" s="3">
        <v>-113781.27</v>
      </c>
      <c r="AF976" s="3">
        <v>0</v>
      </c>
      <c r="AG976" s="3">
        <v>-113781.27</v>
      </c>
      <c r="AH976" s="3">
        <v>-113781.27</v>
      </c>
      <c r="AI976" s="3">
        <v>720000</v>
      </c>
      <c r="AJ976" s="3">
        <v>0</v>
      </c>
    </row>
    <row r="977" spans="1:36" x14ac:dyDescent="0.2">
      <c r="A977" s="3" t="s">
        <v>75</v>
      </c>
      <c r="B977" s="3" t="s">
        <v>83</v>
      </c>
      <c r="C977" s="3" t="s">
        <v>88</v>
      </c>
      <c r="D977" s="3">
        <v>2</v>
      </c>
      <c r="E977" s="3">
        <v>2023</v>
      </c>
      <c r="F977" s="3">
        <v>1</v>
      </c>
      <c r="G977" s="3" t="s">
        <v>48</v>
      </c>
      <c r="H977" s="3" t="s">
        <v>46</v>
      </c>
      <c r="I977" s="5">
        <v>13346796.792000001</v>
      </c>
      <c r="J977" s="3">
        <v>667684.15199999989</v>
      </c>
      <c r="K977" s="3">
        <v>12679112.640000001</v>
      </c>
      <c r="L977" s="3">
        <v>7798656.4800000004</v>
      </c>
      <c r="M977" s="3">
        <v>4880456.16</v>
      </c>
      <c r="N977" s="3">
        <v>3650965.344</v>
      </c>
      <c r="O977" s="3">
        <f t="shared" si="16"/>
        <v>28.7951171952046</v>
      </c>
      <c r="P977" s="3">
        <v>807298.8</v>
      </c>
      <c r="Q977" s="3">
        <v>438158.076</v>
      </c>
      <c r="R977" s="3">
        <v>1007153.2920000001</v>
      </c>
      <c r="S977" s="3">
        <v>107005.296</v>
      </c>
      <c r="T977" s="3">
        <v>439135.55999999994</v>
      </c>
      <c r="U977" s="3">
        <v>302026.33199999999</v>
      </c>
      <c r="V977" s="3">
        <v>550187.98800000001</v>
      </c>
      <c r="W977" s="3">
        <v>0</v>
      </c>
      <c r="X977" s="3">
        <v>1229490.8159999999</v>
      </c>
      <c r="Y977" s="3">
        <v>328.3355967824769</v>
      </c>
      <c r="Z977" s="3">
        <v>315533.86799999996</v>
      </c>
      <c r="AA977" s="3">
        <v>-315205.53240321751</v>
      </c>
      <c r="AB977" s="3">
        <v>26400</v>
      </c>
      <c r="AC977" s="3">
        <v>26400</v>
      </c>
      <c r="AD977" s="3">
        <v>0</v>
      </c>
      <c r="AE977" s="3">
        <v>914285.28359678248</v>
      </c>
      <c r="AF977" s="3">
        <v>0</v>
      </c>
      <c r="AG977" s="3">
        <v>914285.28359678248</v>
      </c>
      <c r="AH977" s="3">
        <v>914285.28359678248</v>
      </c>
      <c r="AI977" s="3">
        <v>11400000</v>
      </c>
      <c r="AJ977" s="3">
        <v>0</v>
      </c>
    </row>
    <row r="978" spans="1:36" x14ac:dyDescent="0.2">
      <c r="A978" s="3" t="s">
        <v>75</v>
      </c>
      <c r="B978" s="3" t="s">
        <v>83</v>
      </c>
      <c r="C978" s="3" t="s">
        <v>88</v>
      </c>
      <c r="D978" s="3">
        <v>3</v>
      </c>
      <c r="E978" s="3">
        <v>2023</v>
      </c>
      <c r="F978" s="3">
        <v>1</v>
      </c>
      <c r="G978" s="3" t="s">
        <v>48</v>
      </c>
      <c r="H978" s="3" t="s">
        <v>46</v>
      </c>
      <c r="I978" s="5">
        <v>23385969</v>
      </c>
      <c r="J978" s="3">
        <v>1647429.2999999998</v>
      </c>
      <c r="K978" s="3">
        <v>21738539.700000003</v>
      </c>
      <c r="L978" s="3">
        <v>14087710.971000001</v>
      </c>
      <c r="M978" s="3">
        <v>7650828.7290000003</v>
      </c>
      <c r="N978" s="3">
        <v>7634499.2370000007</v>
      </c>
      <c r="O978" s="3">
        <f t="shared" si="16"/>
        <v>35.119650824567579</v>
      </c>
      <c r="P978" s="3">
        <v>1816422.3</v>
      </c>
      <c r="Q978" s="3">
        <v>1043898.8670000001</v>
      </c>
      <c r="R978" s="3">
        <v>1947035.9880000001</v>
      </c>
      <c r="S978" s="3">
        <v>390270.82499999995</v>
      </c>
      <c r="T978" s="3">
        <v>708731.34300000011</v>
      </c>
      <c r="U978" s="3">
        <v>387933.08400000009</v>
      </c>
      <c r="V978" s="3">
        <v>1340206.83</v>
      </c>
      <c r="W978" s="3">
        <v>0</v>
      </c>
      <c r="X978" s="3">
        <v>16329.492000000002</v>
      </c>
      <c r="Y978" s="3">
        <v>481.95168724797492</v>
      </c>
      <c r="Z978" s="3">
        <v>710349.75</v>
      </c>
      <c r="AA978" s="3">
        <v>-709867.79831275216</v>
      </c>
      <c r="AB978" s="3">
        <v>12204</v>
      </c>
      <c r="AC978" s="3">
        <v>12204</v>
      </c>
      <c r="AD978" s="3">
        <v>0</v>
      </c>
      <c r="AE978" s="3">
        <v>-693538.30631275207</v>
      </c>
      <c r="AF978" s="3">
        <v>0</v>
      </c>
      <c r="AG978" s="3">
        <v>-693538.30631275207</v>
      </c>
      <c r="AH978" s="3">
        <v>-693538.30631275207</v>
      </c>
      <c r="AI978" s="3">
        <v>32400000</v>
      </c>
      <c r="AJ978" s="3">
        <v>0</v>
      </c>
    </row>
    <row r="979" spans="1:36" x14ac:dyDescent="0.2">
      <c r="A979" s="3" t="s">
        <v>75</v>
      </c>
      <c r="B979" s="3" t="s">
        <v>83</v>
      </c>
      <c r="C979" s="3" t="s">
        <v>88</v>
      </c>
      <c r="D979" s="3">
        <v>1</v>
      </c>
      <c r="E979" s="3">
        <v>2023</v>
      </c>
      <c r="F979" s="3">
        <v>1</v>
      </c>
      <c r="G979" s="3" t="s">
        <v>48</v>
      </c>
      <c r="H979" s="3" t="s">
        <v>46</v>
      </c>
      <c r="I979" s="5">
        <v>23867050</v>
      </c>
      <c r="J979" s="3">
        <v>1191400</v>
      </c>
      <c r="K979" s="3">
        <v>22675650</v>
      </c>
      <c r="L979" s="3">
        <v>14127581.125</v>
      </c>
      <c r="M979" s="3">
        <v>8548068.875</v>
      </c>
      <c r="N979" s="3">
        <v>7167735.5</v>
      </c>
      <c r="O979" s="3">
        <f t="shared" si="16"/>
        <v>31.60983477871638</v>
      </c>
      <c r="P979" s="3">
        <v>1681872.5</v>
      </c>
      <c r="Q979" s="3">
        <v>912829.32499999995</v>
      </c>
      <c r="R979" s="3">
        <v>2152645.5499999998</v>
      </c>
      <c r="S979" s="3">
        <v>171998.17500000002</v>
      </c>
      <c r="T979" s="3">
        <v>292130.97499999998</v>
      </c>
      <c r="U979" s="3">
        <v>662135.6</v>
      </c>
      <c r="V979" s="3">
        <v>1294123.375</v>
      </c>
      <c r="W979" s="3">
        <v>0</v>
      </c>
      <c r="X979" s="3">
        <v>1380333.375</v>
      </c>
      <c r="Y979" s="3">
        <v>794.17104920479062</v>
      </c>
      <c r="Z979" s="3">
        <v>614891.92499999993</v>
      </c>
      <c r="AA979" s="3">
        <v>-614097.75395079528</v>
      </c>
      <c r="AB979" s="3">
        <v>31475</v>
      </c>
      <c r="AC979" s="3">
        <v>31475</v>
      </c>
      <c r="AD979" s="3">
        <v>0</v>
      </c>
      <c r="AE979" s="3">
        <v>766235.62104920484</v>
      </c>
      <c r="AF979" s="3">
        <v>0</v>
      </c>
      <c r="AG979" s="3">
        <v>766235.62104920484</v>
      </c>
      <c r="AH979" s="3">
        <v>766235.62104920484</v>
      </c>
      <c r="AI979" s="3">
        <v>22250000</v>
      </c>
      <c r="AJ979" s="3">
        <v>0</v>
      </c>
    </row>
    <row r="980" spans="1:36" x14ac:dyDescent="0.2">
      <c r="A980" s="3" t="s">
        <v>75</v>
      </c>
      <c r="B980" s="3" t="s">
        <v>83</v>
      </c>
      <c r="C980" s="3" t="s">
        <v>88</v>
      </c>
      <c r="D980" s="3">
        <v>1</v>
      </c>
      <c r="E980" s="3">
        <v>2023</v>
      </c>
      <c r="F980" s="3">
        <v>1</v>
      </c>
      <c r="G980" s="3" t="s">
        <v>39</v>
      </c>
      <c r="H980" s="3" t="s">
        <v>46</v>
      </c>
      <c r="I980" s="5">
        <v>259295812.8221215</v>
      </c>
      <c r="J980" s="3">
        <v>0</v>
      </c>
      <c r="K980" s="3">
        <v>259295812.8221215</v>
      </c>
      <c r="L980" s="3">
        <v>258845844.27809352</v>
      </c>
      <c r="M980" s="3">
        <v>449968.54402801319</v>
      </c>
      <c r="N980" s="3">
        <v>209054.1</v>
      </c>
      <c r="O980" s="3">
        <f t="shared" si="16"/>
        <v>8.0623785523066815E-2</v>
      </c>
      <c r="P980" s="3">
        <v>35997.5</v>
      </c>
      <c r="Q980" s="3">
        <v>12176.692000000001</v>
      </c>
      <c r="R980" s="3">
        <v>77584.293999999994</v>
      </c>
      <c r="S980" s="3">
        <v>1557.8119999999999</v>
      </c>
      <c r="T980" s="3">
        <v>12941.471</v>
      </c>
      <c r="U980" s="3">
        <v>45463.337999999996</v>
      </c>
      <c r="V980" s="3">
        <v>23332.992999999995</v>
      </c>
      <c r="W980" s="3">
        <v>0</v>
      </c>
      <c r="X980" s="3">
        <v>240914.44402801324</v>
      </c>
      <c r="Y980" s="3">
        <v>0</v>
      </c>
      <c r="Z980" s="3">
        <v>0</v>
      </c>
      <c r="AA980" s="3">
        <v>0</v>
      </c>
      <c r="AB980" s="3">
        <v>29410</v>
      </c>
      <c r="AC980" s="3">
        <v>6045.2</v>
      </c>
      <c r="AD980" s="3">
        <v>23364.799999999999</v>
      </c>
      <c r="AE980" s="3">
        <v>264279.24402801326</v>
      </c>
      <c r="AF980" s="3">
        <v>0</v>
      </c>
      <c r="AG980" s="3">
        <v>264279.24402801326</v>
      </c>
      <c r="AH980" s="3">
        <v>264279.24402801326</v>
      </c>
      <c r="AI980" s="3">
        <v>726795812.82212138</v>
      </c>
      <c r="AJ980" s="3">
        <v>210826.38941078866</v>
      </c>
    </row>
    <row r="981" spans="1:36" x14ac:dyDescent="0.2">
      <c r="A981" s="3" t="s">
        <v>75</v>
      </c>
      <c r="B981" s="3" t="s">
        <v>83</v>
      </c>
      <c r="C981" s="3" t="s">
        <v>88</v>
      </c>
      <c r="D981" s="3">
        <v>3</v>
      </c>
      <c r="E981" s="3">
        <v>2023</v>
      </c>
      <c r="F981" s="3">
        <v>1</v>
      </c>
      <c r="G981" s="3" t="s">
        <v>39</v>
      </c>
      <c r="H981" s="3" t="s">
        <v>46</v>
      </c>
      <c r="I981" s="5">
        <v>675837148.44014955</v>
      </c>
      <c r="J981" s="3">
        <v>0</v>
      </c>
      <c r="K981" s="3">
        <v>675837148.44014955</v>
      </c>
      <c r="L981" s="3">
        <v>673023520.07534528</v>
      </c>
      <c r="M981" s="3">
        <v>2813628.3648042073</v>
      </c>
      <c r="N981" s="3">
        <v>531174.51</v>
      </c>
      <c r="O981" s="3">
        <f t="shared" si="16"/>
        <v>7.859504486043202E-2</v>
      </c>
      <c r="P981" s="3">
        <v>57172.5</v>
      </c>
      <c r="Q981" s="3">
        <v>21165.543000000001</v>
      </c>
      <c r="R981" s="3">
        <v>110507.97600000002</v>
      </c>
      <c r="S981" s="3">
        <v>3215.3760000000007</v>
      </c>
      <c r="T981" s="3">
        <v>22259.718000000001</v>
      </c>
      <c r="U981" s="3">
        <v>281455.18200000003</v>
      </c>
      <c r="V981" s="3">
        <v>35398.214999999997</v>
      </c>
      <c r="W981" s="3">
        <v>0</v>
      </c>
      <c r="X981" s="3">
        <v>2282453.8548042071</v>
      </c>
      <c r="Y981" s="3">
        <v>0</v>
      </c>
      <c r="Z981" s="3">
        <v>14325.66</v>
      </c>
      <c r="AA981" s="3">
        <v>-14325.66</v>
      </c>
      <c r="AB981" s="3">
        <v>25515</v>
      </c>
      <c r="AC981" s="3">
        <v>1371.6</v>
      </c>
      <c r="AD981" s="3">
        <v>24143.4</v>
      </c>
      <c r="AE981" s="3">
        <v>2292271.5948042069</v>
      </c>
      <c r="AF981" s="3">
        <v>0</v>
      </c>
      <c r="AG981" s="3">
        <v>2292271.5948042069</v>
      </c>
      <c r="AH981" s="3">
        <v>2292271.5948042069</v>
      </c>
      <c r="AI981" s="3">
        <v>675837148.44014955</v>
      </c>
      <c r="AJ981" s="3">
        <v>334841.91259360552</v>
      </c>
    </row>
    <row r="982" spans="1:36" x14ac:dyDescent="0.2">
      <c r="A982" s="3" t="s">
        <v>75</v>
      </c>
      <c r="B982" s="3" t="s">
        <v>83</v>
      </c>
      <c r="C982" s="3" t="s">
        <v>88</v>
      </c>
      <c r="D982" s="3">
        <v>2</v>
      </c>
      <c r="E982" s="3">
        <v>2023</v>
      </c>
      <c r="F982" s="3">
        <v>1</v>
      </c>
      <c r="G982" s="3" t="s">
        <v>39</v>
      </c>
      <c r="H982" s="3" t="s">
        <v>46</v>
      </c>
      <c r="I982" s="5">
        <v>830675788.10708809</v>
      </c>
      <c r="J982" s="3">
        <v>0</v>
      </c>
      <c r="K982" s="3">
        <v>830675788.10708809</v>
      </c>
      <c r="L982" s="3">
        <v>828755947.50902402</v>
      </c>
      <c r="M982" s="3">
        <v>1919840.5980639267</v>
      </c>
      <c r="N982" s="3">
        <v>465845.82</v>
      </c>
      <c r="O982" s="3">
        <f t="shared" si="16"/>
        <v>5.6080341653095667E-2</v>
      </c>
      <c r="P982" s="3">
        <v>63525</v>
      </c>
      <c r="Q982" s="3">
        <v>21488.28</v>
      </c>
      <c r="R982" s="3">
        <v>141813.78</v>
      </c>
      <c r="S982" s="3">
        <v>2749.08</v>
      </c>
      <c r="T982" s="3">
        <v>31774.74</v>
      </c>
      <c r="U982" s="3">
        <v>173064.56999999998</v>
      </c>
      <c r="V982" s="3">
        <v>31430.37</v>
      </c>
      <c r="W982" s="3">
        <v>0</v>
      </c>
      <c r="X982" s="3">
        <v>1453994.7780639268</v>
      </c>
      <c r="Y982" s="3">
        <v>0</v>
      </c>
      <c r="Z982" s="3">
        <v>3304.8</v>
      </c>
      <c r="AA982" s="3">
        <v>-3304.8</v>
      </c>
      <c r="AB982" s="3">
        <v>61350</v>
      </c>
      <c r="AC982" s="3">
        <v>15379.439999999999</v>
      </c>
      <c r="AD982" s="3">
        <v>45970.559999999998</v>
      </c>
      <c r="AE982" s="3">
        <v>1496660.5380639269</v>
      </c>
      <c r="AF982" s="3">
        <v>0</v>
      </c>
      <c r="AG982" s="3">
        <v>1496660.5380639269</v>
      </c>
      <c r="AH982" s="3">
        <v>1496660.5380639269</v>
      </c>
      <c r="AI982" s="3">
        <v>830675788.10708809</v>
      </c>
      <c r="AJ982" s="3">
        <v>372046.56954845058</v>
      </c>
    </row>
    <row r="983" spans="1:36" x14ac:dyDescent="0.2">
      <c r="A983" s="3" t="s">
        <v>75</v>
      </c>
      <c r="B983" s="3" t="s">
        <v>83</v>
      </c>
      <c r="C983" s="3" t="s">
        <v>89</v>
      </c>
      <c r="D983" s="3">
        <v>1</v>
      </c>
      <c r="E983" s="3">
        <v>2023</v>
      </c>
      <c r="F983" s="3">
        <v>1</v>
      </c>
      <c r="G983" s="3" t="s">
        <v>42</v>
      </c>
      <c r="H983" s="3" t="s">
        <v>40</v>
      </c>
      <c r="I983" s="5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 t="e">
        <f t="shared" si="16"/>
        <v>#DIV/0!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0</v>
      </c>
      <c r="AJ983" s="3">
        <v>0</v>
      </c>
    </row>
    <row r="984" spans="1:36" x14ac:dyDescent="0.2">
      <c r="A984" s="3" t="s">
        <v>75</v>
      </c>
      <c r="B984" s="3" t="s">
        <v>83</v>
      </c>
      <c r="C984" s="3" t="s">
        <v>89</v>
      </c>
      <c r="D984" s="3">
        <v>1</v>
      </c>
      <c r="E984" s="3">
        <v>2023</v>
      </c>
      <c r="F984" s="3">
        <v>1</v>
      </c>
      <c r="G984" s="3" t="s">
        <v>39</v>
      </c>
      <c r="H984" s="3" t="s">
        <v>40</v>
      </c>
      <c r="I984" s="5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 t="e">
        <f t="shared" si="16"/>
        <v>#DIV/0!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 s="3">
        <v>0</v>
      </c>
    </row>
    <row r="985" spans="1:36" x14ac:dyDescent="0.2">
      <c r="A985" s="3" t="s">
        <v>75</v>
      </c>
      <c r="B985" s="3" t="s">
        <v>83</v>
      </c>
      <c r="C985" s="3" t="s">
        <v>89</v>
      </c>
      <c r="D985" s="3">
        <v>2</v>
      </c>
      <c r="E985" s="3">
        <v>2023</v>
      </c>
      <c r="F985" s="3">
        <v>1</v>
      </c>
      <c r="G985" s="3" t="s">
        <v>42</v>
      </c>
      <c r="H985" s="3" t="s">
        <v>40</v>
      </c>
      <c r="I985" s="5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 t="e">
        <f t="shared" si="16"/>
        <v>#DIV/0!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0</v>
      </c>
      <c r="AJ985" s="3">
        <v>0</v>
      </c>
    </row>
    <row r="986" spans="1:36" x14ac:dyDescent="0.2">
      <c r="A986" s="3" t="s">
        <v>75</v>
      </c>
      <c r="B986" s="3" t="s">
        <v>83</v>
      </c>
      <c r="C986" s="3" t="s">
        <v>89</v>
      </c>
      <c r="D986" s="3">
        <v>2</v>
      </c>
      <c r="E986" s="3">
        <v>2023</v>
      </c>
      <c r="F986" s="3">
        <v>1</v>
      </c>
      <c r="G986" s="3" t="s">
        <v>39</v>
      </c>
      <c r="H986" s="3" t="s">
        <v>40</v>
      </c>
      <c r="I986" s="5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 t="e">
        <f t="shared" si="16"/>
        <v>#DIV/0!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</row>
    <row r="987" spans="1:36" x14ac:dyDescent="0.2">
      <c r="A987" s="3" t="s">
        <v>75</v>
      </c>
      <c r="B987" s="3" t="s">
        <v>83</v>
      </c>
      <c r="C987" s="3" t="s">
        <v>89</v>
      </c>
      <c r="D987" s="3">
        <v>3</v>
      </c>
      <c r="E987" s="3">
        <v>2023</v>
      </c>
      <c r="F987" s="3">
        <v>1</v>
      </c>
      <c r="G987" s="3" t="s">
        <v>42</v>
      </c>
      <c r="H987" s="3" t="s">
        <v>40</v>
      </c>
      <c r="I987" s="5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 t="e">
        <f t="shared" si="16"/>
        <v>#DIV/0!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3">
        <v>0</v>
      </c>
    </row>
    <row r="988" spans="1:36" x14ac:dyDescent="0.2">
      <c r="A988" s="3" t="s">
        <v>75</v>
      </c>
      <c r="B988" s="3" t="s">
        <v>83</v>
      </c>
      <c r="C988" s="3" t="s">
        <v>89</v>
      </c>
      <c r="D988" s="3">
        <v>3</v>
      </c>
      <c r="E988" s="3">
        <v>2023</v>
      </c>
      <c r="F988" s="3">
        <v>1</v>
      </c>
      <c r="G988" s="3" t="s">
        <v>39</v>
      </c>
      <c r="H988" s="3" t="s">
        <v>40</v>
      </c>
      <c r="I988" s="5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 t="e">
        <f t="shared" si="16"/>
        <v>#DIV/0!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</row>
    <row r="989" spans="1:36" x14ac:dyDescent="0.2">
      <c r="A989" s="3" t="s">
        <v>75</v>
      </c>
      <c r="B989" s="3" t="s">
        <v>83</v>
      </c>
      <c r="C989" s="3" t="s">
        <v>89</v>
      </c>
      <c r="D989" s="3">
        <v>1</v>
      </c>
      <c r="E989" s="3">
        <v>2023</v>
      </c>
      <c r="F989" s="3">
        <v>1</v>
      </c>
      <c r="G989" s="3" t="s">
        <v>42</v>
      </c>
      <c r="H989" s="3" t="s">
        <v>46</v>
      </c>
      <c r="I989" s="5">
        <v>74960</v>
      </c>
      <c r="J989" s="3">
        <v>0</v>
      </c>
      <c r="K989" s="3">
        <v>74960</v>
      </c>
      <c r="L989" s="3">
        <v>44976</v>
      </c>
      <c r="M989" s="3">
        <v>29984</v>
      </c>
      <c r="N989" s="3">
        <v>193687.03000000003</v>
      </c>
      <c r="O989" s="3">
        <f t="shared" si="16"/>
        <v>258.38717982924231</v>
      </c>
      <c r="P989" s="3">
        <v>71011.11</v>
      </c>
      <c r="Q989" s="3">
        <v>31853.440000000002</v>
      </c>
      <c r="R989" s="3">
        <v>52231.180000000008</v>
      </c>
      <c r="S989" s="3">
        <v>6567.5599999999995</v>
      </c>
      <c r="T989" s="3">
        <v>990.14</v>
      </c>
      <c r="U989" s="3">
        <v>2998.3999999999996</v>
      </c>
      <c r="V989" s="3">
        <v>28035.200000000001</v>
      </c>
      <c r="W989" s="3">
        <v>0</v>
      </c>
      <c r="X989" s="3">
        <v>-163703.03</v>
      </c>
      <c r="Y989" s="3">
        <v>0</v>
      </c>
      <c r="Z989" s="3">
        <v>8703.2799999999988</v>
      </c>
      <c r="AA989" s="3">
        <v>-8703.2799999999988</v>
      </c>
      <c r="AB989" s="3">
        <v>0</v>
      </c>
      <c r="AC989" s="3">
        <v>0</v>
      </c>
      <c r="AD989" s="3">
        <v>0</v>
      </c>
      <c r="AE989" s="3">
        <v>-172406.31</v>
      </c>
      <c r="AF989" s="3">
        <v>0</v>
      </c>
      <c r="AG989" s="3">
        <v>-172406.31</v>
      </c>
      <c r="AH989" s="3">
        <v>-172406.31</v>
      </c>
      <c r="AI989" s="3">
        <v>160000</v>
      </c>
      <c r="AJ989" s="3">
        <v>0</v>
      </c>
    </row>
    <row r="990" spans="1:36" x14ac:dyDescent="0.2">
      <c r="A990" s="3" t="s">
        <v>75</v>
      </c>
      <c r="B990" s="3" t="s">
        <v>83</v>
      </c>
      <c r="C990" s="3" t="s">
        <v>89</v>
      </c>
      <c r="D990" s="3">
        <v>3</v>
      </c>
      <c r="E990" s="3">
        <v>2023</v>
      </c>
      <c r="F990" s="3">
        <v>1</v>
      </c>
      <c r="G990" s="3" t="s">
        <v>42</v>
      </c>
      <c r="H990" s="3" t="s">
        <v>46</v>
      </c>
      <c r="I990" s="5">
        <v>345120</v>
      </c>
      <c r="J990" s="3">
        <v>70650</v>
      </c>
      <c r="K990" s="3">
        <v>274470</v>
      </c>
      <c r="L990" s="3">
        <v>207072</v>
      </c>
      <c r="M990" s="3">
        <v>67398</v>
      </c>
      <c r="N990" s="3">
        <v>559143.44999999995</v>
      </c>
      <c r="O990" s="3">
        <f t="shared" si="16"/>
        <v>203.71751011039456</v>
      </c>
      <c r="P990" s="3">
        <v>213033.33</v>
      </c>
      <c r="Q990" s="3">
        <v>101105.78</v>
      </c>
      <c r="R990" s="3">
        <v>146684.16</v>
      </c>
      <c r="S990" s="3">
        <v>22182.18</v>
      </c>
      <c r="T990" s="3">
        <v>1271.94</v>
      </c>
      <c r="U990" s="3">
        <v>6739.8</v>
      </c>
      <c r="V990" s="3">
        <v>68176.260000000009</v>
      </c>
      <c r="W990" s="3">
        <v>0</v>
      </c>
      <c r="X990" s="3">
        <v>-491745.44999999995</v>
      </c>
      <c r="Y990" s="3">
        <v>0</v>
      </c>
      <c r="Z990" s="3">
        <v>31918.89</v>
      </c>
      <c r="AA990" s="3">
        <v>-31918.89</v>
      </c>
      <c r="AB990" s="3">
        <v>0</v>
      </c>
      <c r="AC990" s="3">
        <v>0</v>
      </c>
      <c r="AD990" s="3">
        <v>0</v>
      </c>
      <c r="AE990" s="3">
        <v>-523664.34</v>
      </c>
      <c r="AF990" s="3">
        <v>0</v>
      </c>
      <c r="AG990" s="3">
        <v>-523664.34</v>
      </c>
      <c r="AH990" s="3">
        <v>-523664.34</v>
      </c>
      <c r="AI990" s="3">
        <v>660000</v>
      </c>
      <c r="AJ990" s="3">
        <v>0</v>
      </c>
    </row>
    <row r="991" spans="1:36" x14ac:dyDescent="0.2">
      <c r="A991" s="3" t="s">
        <v>75</v>
      </c>
      <c r="B991" s="3" t="s">
        <v>83</v>
      </c>
      <c r="C991" s="3" t="s">
        <v>89</v>
      </c>
      <c r="D991" s="3">
        <v>2</v>
      </c>
      <c r="E991" s="3">
        <v>2023</v>
      </c>
      <c r="F991" s="3">
        <v>1</v>
      </c>
      <c r="G991" s="3" t="s">
        <v>42</v>
      </c>
      <c r="H991" s="3" t="s">
        <v>46</v>
      </c>
      <c r="I991" s="5">
        <v>422172</v>
      </c>
      <c r="J991" s="3">
        <v>0</v>
      </c>
      <c r="K991" s="3">
        <v>422172</v>
      </c>
      <c r="L991" s="3">
        <v>253303.2</v>
      </c>
      <c r="M991" s="3">
        <v>168868.80000000002</v>
      </c>
      <c r="N991" s="3">
        <v>268838.52</v>
      </c>
      <c r="O991" s="3">
        <f t="shared" si="16"/>
        <v>63.679855603877101</v>
      </c>
      <c r="P991" s="3">
        <v>85213.331999999995</v>
      </c>
      <c r="Q991" s="3">
        <v>38224.127999999997</v>
      </c>
      <c r="R991" s="3">
        <v>57871.368000000002</v>
      </c>
      <c r="S991" s="3">
        <v>24492.072</v>
      </c>
      <c r="T991" s="3">
        <v>24430.5</v>
      </c>
      <c r="U991" s="3">
        <v>16886.88</v>
      </c>
      <c r="V991" s="3">
        <v>21720.239999999998</v>
      </c>
      <c r="W991" s="3">
        <v>0</v>
      </c>
      <c r="X991" s="3">
        <v>-99969.72</v>
      </c>
      <c r="Y991" s="3">
        <v>0</v>
      </c>
      <c r="Z991" s="3">
        <v>11184.683999999999</v>
      </c>
      <c r="AA991" s="3">
        <v>-11184.683999999999</v>
      </c>
      <c r="AB991" s="3">
        <v>0</v>
      </c>
      <c r="AC991" s="3">
        <v>0</v>
      </c>
      <c r="AD991" s="3">
        <v>0</v>
      </c>
      <c r="AE991" s="3">
        <v>-111154.40399999999</v>
      </c>
      <c r="AF991" s="3">
        <v>0</v>
      </c>
      <c r="AG991" s="3">
        <v>-111154.40399999999</v>
      </c>
      <c r="AH991" s="3">
        <v>-111154.40399999999</v>
      </c>
      <c r="AI991" s="3">
        <v>240000</v>
      </c>
      <c r="AJ991" s="3">
        <v>0</v>
      </c>
    </row>
    <row r="992" spans="1:36" x14ac:dyDescent="0.2">
      <c r="A992" s="3" t="s">
        <v>75</v>
      </c>
      <c r="B992" s="3" t="s">
        <v>83</v>
      </c>
      <c r="C992" s="3" t="s">
        <v>89</v>
      </c>
      <c r="D992" s="3">
        <v>1</v>
      </c>
      <c r="E992" s="3">
        <v>2023</v>
      </c>
      <c r="F992" s="3">
        <v>1</v>
      </c>
      <c r="G992" s="3" t="s">
        <v>48</v>
      </c>
      <c r="H992" s="3" t="s">
        <v>46</v>
      </c>
      <c r="I992" s="5">
        <v>5121285</v>
      </c>
      <c r="J992" s="3">
        <v>84313.5</v>
      </c>
      <c r="K992" s="3">
        <v>5036971.5</v>
      </c>
      <c r="L992" s="3">
        <v>3164293.4250000003</v>
      </c>
      <c r="M992" s="3">
        <v>1872678.075</v>
      </c>
      <c r="N992" s="3">
        <v>4756494.75</v>
      </c>
      <c r="O992" s="3">
        <f t="shared" si="16"/>
        <v>94.431639130775309</v>
      </c>
      <c r="P992" s="3">
        <v>1582533.33</v>
      </c>
      <c r="Q992" s="3">
        <v>665747.34</v>
      </c>
      <c r="R992" s="3">
        <v>1372593.96</v>
      </c>
      <c r="S992" s="3">
        <v>85005.044999999984</v>
      </c>
      <c r="T992" s="3">
        <v>228236.94</v>
      </c>
      <c r="U992" s="3">
        <v>137759.54999999999</v>
      </c>
      <c r="V992" s="3">
        <v>684618.58499999996</v>
      </c>
      <c r="W992" s="3">
        <v>0</v>
      </c>
      <c r="X992" s="3">
        <v>-2883816.6749999998</v>
      </c>
      <c r="Y992" s="3">
        <v>173.98394109752155</v>
      </c>
      <c r="Z992" s="3">
        <v>304220.08500000002</v>
      </c>
      <c r="AA992" s="3">
        <v>-304046.10110890248</v>
      </c>
      <c r="AB992" s="3">
        <v>8835</v>
      </c>
      <c r="AC992" s="3">
        <v>8835</v>
      </c>
      <c r="AD992" s="3">
        <v>0</v>
      </c>
      <c r="AE992" s="3">
        <v>-3187862.776058903</v>
      </c>
      <c r="AF992" s="3">
        <v>0</v>
      </c>
      <c r="AG992" s="3">
        <v>-3187862.776058903</v>
      </c>
      <c r="AH992" s="3">
        <v>-3187862.776058903</v>
      </c>
      <c r="AI992" s="3">
        <v>12300000</v>
      </c>
      <c r="AJ992" s="3">
        <v>0</v>
      </c>
    </row>
    <row r="993" spans="1:36" x14ac:dyDescent="0.2">
      <c r="A993" s="3" t="s">
        <v>75</v>
      </c>
      <c r="B993" s="3" t="s">
        <v>83</v>
      </c>
      <c r="C993" s="3" t="s">
        <v>89</v>
      </c>
      <c r="D993" s="3">
        <v>3</v>
      </c>
      <c r="E993" s="3">
        <v>2023</v>
      </c>
      <c r="F993" s="3">
        <v>1</v>
      </c>
      <c r="G993" s="3" t="s">
        <v>48</v>
      </c>
      <c r="H993" s="3" t="s">
        <v>46</v>
      </c>
      <c r="I993" s="5">
        <v>6012525.0499999998</v>
      </c>
      <c r="J993" s="3">
        <v>188092.5</v>
      </c>
      <c r="K993" s="3">
        <v>5824432.5499999998</v>
      </c>
      <c r="L993" s="3">
        <v>3762772.1</v>
      </c>
      <c r="M993" s="3">
        <v>2061660.4500000002</v>
      </c>
      <c r="N993" s="3">
        <v>8301878.0500000007</v>
      </c>
      <c r="O993" s="3">
        <f t="shared" si="16"/>
        <v>142.53539686024865</v>
      </c>
      <c r="P993" s="3">
        <v>2637555.5499999998</v>
      </c>
      <c r="Q993" s="3">
        <v>1177620.3</v>
      </c>
      <c r="R993" s="3">
        <v>2156518.5</v>
      </c>
      <c r="S993" s="3">
        <v>249337.47500000001</v>
      </c>
      <c r="T993" s="3">
        <v>889593.75</v>
      </c>
      <c r="U993" s="3">
        <v>114548.625</v>
      </c>
      <c r="V993" s="3">
        <v>1076703.8499999999</v>
      </c>
      <c r="W993" s="3">
        <v>0</v>
      </c>
      <c r="X993" s="3">
        <v>-6240217.5999999996</v>
      </c>
      <c r="Y993" s="3">
        <v>129.87099405893906</v>
      </c>
      <c r="Z993" s="3">
        <v>603115.55000000005</v>
      </c>
      <c r="AA993" s="3">
        <v>-602985.67900594103</v>
      </c>
      <c r="AB993" s="3">
        <v>2625</v>
      </c>
      <c r="AC993" s="3">
        <v>2625</v>
      </c>
      <c r="AD993" s="3">
        <v>0</v>
      </c>
      <c r="AE993" s="3">
        <v>-6843203.2790059419</v>
      </c>
      <c r="AF993" s="3">
        <v>0</v>
      </c>
      <c r="AG993" s="3">
        <v>-6843203.2790059419</v>
      </c>
      <c r="AH993" s="3">
        <v>-6843203.2790059419</v>
      </c>
      <c r="AI993" s="3">
        <v>18750000</v>
      </c>
      <c r="AJ993" s="3">
        <v>0</v>
      </c>
    </row>
    <row r="994" spans="1:36" x14ac:dyDescent="0.2">
      <c r="A994" s="3" t="s">
        <v>75</v>
      </c>
      <c r="B994" s="3" t="s">
        <v>83</v>
      </c>
      <c r="C994" s="3" t="s">
        <v>89</v>
      </c>
      <c r="D994" s="3">
        <v>2</v>
      </c>
      <c r="E994" s="3">
        <v>2023</v>
      </c>
      <c r="F994" s="3">
        <v>1</v>
      </c>
      <c r="G994" s="3" t="s">
        <v>48</v>
      </c>
      <c r="H994" s="3" t="s">
        <v>46</v>
      </c>
      <c r="I994" s="5">
        <v>14015748</v>
      </c>
      <c r="J994" s="3">
        <v>173300.40000000002</v>
      </c>
      <c r="K994" s="3">
        <v>13842447.6</v>
      </c>
      <c r="L994" s="3">
        <v>8638500.8640000001</v>
      </c>
      <c r="M994" s="3">
        <v>5203946.7359999996</v>
      </c>
      <c r="N994" s="3">
        <v>4080640.5120000001</v>
      </c>
      <c r="O994" s="3">
        <f t="shared" si="16"/>
        <v>29.47918337794539</v>
      </c>
      <c r="P994" s="3">
        <v>1266026.6639999999</v>
      </c>
      <c r="Q994" s="3">
        <v>532597.87199999997</v>
      </c>
      <c r="R994" s="3">
        <v>1029242.6159999999</v>
      </c>
      <c r="S994" s="3">
        <v>108685.30799999999</v>
      </c>
      <c r="T994" s="3">
        <v>335002.728</v>
      </c>
      <c r="U994" s="3">
        <v>330929.01599999995</v>
      </c>
      <c r="V994" s="3">
        <v>478156.30799999996</v>
      </c>
      <c r="W994" s="3">
        <v>0</v>
      </c>
      <c r="X994" s="3">
        <v>1123306.2239999999</v>
      </c>
      <c r="Y994" s="3">
        <v>350.10120054679527</v>
      </c>
      <c r="Z994" s="3">
        <v>176920.76399999997</v>
      </c>
      <c r="AA994" s="3">
        <v>-176570.66279945319</v>
      </c>
      <c r="AB994" s="3">
        <v>10560</v>
      </c>
      <c r="AC994" s="3">
        <v>10560</v>
      </c>
      <c r="AD994" s="3">
        <v>0</v>
      </c>
      <c r="AE994" s="3">
        <v>946735.5612005468</v>
      </c>
      <c r="AF994" s="3">
        <v>0</v>
      </c>
      <c r="AG994" s="3">
        <v>946735.5612005468</v>
      </c>
      <c r="AH994" s="3">
        <v>946735.5612005468</v>
      </c>
      <c r="AI994" s="3">
        <v>11400000</v>
      </c>
      <c r="AJ994" s="3">
        <v>0</v>
      </c>
    </row>
    <row r="995" spans="1:36" x14ac:dyDescent="0.2">
      <c r="A995" s="3" t="s">
        <v>75</v>
      </c>
      <c r="B995" s="3" t="s">
        <v>83</v>
      </c>
      <c r="C995" s="3" t="s">
        <v>89</v>
      </c>
      <c r="D995" s="3">
        <v>1</v>
      </c>
      <c r="E995" s="3">
        <v>2023</v>
      </c>
      <c r="F995" s="3">
        <v>1</v>
      </c>
      <c r="G995" s="3" t="s">
        <v>39</v>
      </c>
      <c r="H995" s="3" t="s">
        <v>46</v>
      </c>
      <c r="I995" s="5">
        <v>192139034.37778619</v>
      </c>
      <c r="J995" s="3">
        <v>0</v>
      </c>
      <c r="K995" s="3">
        <v>192139034.37778619</v>
      </c>
      <c r="L995" s="3">
        <v>191664535.96209612</v>
      </c>
      <c r="M995" s="3">
        <v>474498.41569007491</v>
      </c>
      <c r="N995" s="3">
        <v>360402.658</v>
      </c>
      <c r="O995" s="3">
        <f t="shared" si="16"/>
        <v>0.18757388844339237</v>
      </c>
      <c r="P995" s="3">
        <v>84700</v>
      </c>
      <c r="Q995" s="3">
        <v>23872.376</v>
      </c>
      <c r="R995" s="3">
        <v>139807.77799999999</v>
      </c>
      <c r="S995" s="3">
        <v>3411.6720000000005</v>
      </c>
      <c r="T995" s="3">
        <v>27215.122000000003</v>
      </c>
      <c r="U995" s="3">
        <v>47967.282000000007</v>
      </c>
      <c r="V995" s="3">
        <v>33428.428</v>
      </c>
      <c r="W995" s="3">
        <v>0</v>
      </c>
      <c r="X995" s="3">
        <v>114095.75769007494</v>
      </c>
      <c r="Y995" s="3">
        <v>0</v>
      </c>
      <c r="Z995" s="3">
        <v>0</v>
      </c>
      <c r="AA995" s="3">
        <v>0</v>
      </c>
      <c r="AB995" s="3">
        <v>22440</v>
      </c>
      <c r="AC995" s="3">
        <v>6705.5999999999995</v>
      </c>
      <c r="AD995" s="3">
        <v>15734.400000000003</v>
      </c>
      <c r="AE995" s="3">
        <v>129830.15769007492</v>
      </c>
      <c r="AF995" s="3">
        <v>0</v>
      </c>
      <c r="AG995" s="3">
        <v>129830.15769007492</v>
      </c>
      <c r="AH995" s="3">
        <v>129830.15769007492</v>
      </c>
      <c r="AI995" s="3">
        <v>797139034.37778616</v>
      </c>
      <c r="AJ995" s="3">
        <v>245114.22314352126</v>
      </c>
    </row>
    <row r="996" spans="1:36" x14ac:dyDescent="0.2">
      <c r="A996" s="3" t="s">
        <v>75</v>
      </c>
      <c r="B996" s="3" t="s">
        <v>83</v>
      </c>
      <c r="C996" s="3" t="s">
        <v>89</v>
      </c>
      <c r="D996" s="3">
        <v>3</v>
      </c>
      <c r="E996" s="3">
        <v>2023</v>
      </c>
      <c r="F996" s="3">
        <v>1</v>
      </c>
      <c r="G996" s="3" t="s">
        <v>39</v>
      </c>
      <c r="H996" s="3" t="s">
        <v>46</v>
      </c>
      <c r="I996" s="5">
        <v>194117197.26080641</v>
      </c>
      <c r="J996" s="3">
        <v>0</v>
      </c>
      <c r="K996" s="3">
        <v>194117197.26080641</v>
      </c>
      <c r="L996" s="3">
        <v>193309845.54369289</v>
      </c>
      <c r="M996" s="3">
        <v>807351.71711352537</v>
      </c>
      <c r="N996" s="3">
        <v>330486.62400000001</v>
      </c>
      <c r="O996" s="3">
        <f t="shared" si="16"/>
        <v>0.17025107958671704</v>
      </c>
      <c r="P996" s="3">
        <v>69300</v>
      </c>
      <c r="Q996" s="3">
        <v>21319.416000000001</v>
      </c>
      <c r="R996" s="3">
        <v>110033.946</v>
      </c>
      <c r="S996" s="3">
        <v>2791.3679999999999</v>
      </c>
      <c r="T996" s="3">
        <v>24114.635999999999</v>
      </c>
      <c r="U996" s="3">
        <v>80770.445999999996</v>
      </c>
      <c r="V996" s="3">
        <v>22156.811999999998</v>
      </c>
      <c r="W996" s="3">
        <v>0</v>
      </c>
      <c r="X996" s="3">
        <v>476865.09311352542</v>
      </c>
      <c r="Y996" s="3">
        <v>0</v>
      </c>
      <c r="Z996" s="3">
        <v>0</v>
      </c>
      <c r="AA996" s="3">
        <v>0</v>
      </c>
      <c r="AB996" s="3">
        <v>4590</v>
      </c>
      <c r="AC996" s="3">
        <v>457.2</v>
      </c>
      <c r="AD996" s="3">
        <v>4132.7999999999993</v>
      </c>
      <c r="AE996" s="3">
        <v>480997.89311352541</v>
      </c>
      <c r="AF996" s="3">
        <v>0</v>
      </c>
      <c r="AG996" s="3">
        <v>480997.89311352541</v>
      </c>
      <c r="AH996" s="3">
        <v>480997.89311352541</v>
      </c>
      <c r="AI996" s="3">
        <v>194117197.26080641</v>
      </c>
      <c r="AJ996" s="3">
        <v>200548.00075379011</v>
      </c>
    </row>
    <row r="997" spans="1:36" x14ac:dyDescent="0.2">
      <c r="A997" s="3" t="s">
        <v>75</v>
      </c>
      <c r="B997" s="3" t="s">
        <v>83</v>
      </c>
      <c r="C997" s="3" t="s">
        <v>89</v>
      </c>
      <c r="D997" s="3">
        <v>2</v>
      </c>
      <c r="E997" s="3">
        <v>2023</v>
      </c>
      <c r="F997" s="3">
        <v>1</v>
      </c>
      <c r="G997" s="3" t="s">
        <v>39</v>
      </c>
      <c r="H997" s="3" t="s">
        <v>46</v>
      </c>
      <c r="I997" s="5">
        <v>389774222.03056419</v>
      </c>
      <c r="J997" s="3">
        <v>0</v>
      </c>
      <c r="K997" s="3">
        <v>389774222.03056419</v>
      </c>
      <c r="L997" s="3">
        <v>388610307.18367815</v>
      </c>
      <c r="M997" s="3">
        <v>1163914.8468860779</v>
      </c>
      <c r="N997" s="3">
        <v>401607.60200000007</v>
      </c>
      <c r="O997" s="3">
        <f t="shared" si="16"/>
        <v>0.10303595756224945</v>
      </c>
      <c r="P997" s="3">
        <v>84700</v>
      </c>
      <c r="Q997" s="3">
        <v>23872.376</v>
      </c>
      <c r="R997" s="3">
        <v>143491.87600000002</v>
      </c>
      <c r="S997" s="3">
        <v>3411.6720000000005</v>
      </c>
      <c r="T997" s="3">
        <v>22534.578000000001</v>
      </c>
      <c r="U997" s="3">
        <v>102014.704</v>
      </c>
      <c r="V997" s="3">
        <v>21582.396000000001</v>
      </c>
      <c r="W997" s="3">
        <v>0</v>
      </c>
      <c r="X997" s="3">
        <v>762307.24488607794</v>
      </c>
      <c r="Y997" s="3">
        <v>0</v>
      </c>
      <c r="Z997" s="3">
        <v>0</v>
      </c>
      <c r="AA997" s="3">
        <v>0</v>
      </c>
      <c r="AB997" s="3">
        <v>11440</v>
      </c>
      <c r="AC997" s="3">
        <v>5545.1</v>
      </c>
      <c r="AD997" s="3">
        <v>5894.9</v>
      </c>
      <c r="AE997" s="3">
        <v>768202.14488607785</v>
      </c>
      <c r="AF997" s="3">
        <v>0</v>
      </c>
      <c r="AG997" s="3">
        <v>768202.14488607785</v>
      </c>
      <c r="AH997" s="3">
        <v>768202.14488607785</v>
      </c>
      <c r="AI997" s="3">
        <v>389774222.03056419</v>
      </c>
      <c r="AJ997" s="3">
        <v>245114.22314352126</v>
      </c>
    </row>
    <row r="998" spans="1:36" x14ac:dyDescent="0.2">
      <c r="A998" s="3" t="s">
        <v>75</v>
      </c>
      <c r="B998" s="3" t="s">
        <v>83</v>
      </c>
      <c r="C998" s="3" t="s">
        <v>90</v>
      </c>
      <c r="D998" s="3">
        <v>3</v>
      </c>
      <c r="E998" s="3">
        <v>2023</v>
      </c>
      <c r="F998" s="3">
        <v>1</v>
      </c>
      <c r="G998" s="3" t="s">
        <v>42</v>
      </c>
      <c r="H998" s="3" t="s">
        <v>46</v>
      </c>
      <c r="I998" s="5">
        <v>6120</v>
      </c>
      <c r="J998" s="3">
        <v>1530</v>
      </c>
      <c r="K998" s="3">
        <v>4590</v>
      </c>
      <c r="L998" s="3">
        <v>3672</v>
      </c>
      <c r="M998" s="3">
        <v>918</v>
      </c>
      <c r="N998" s="3">
        <v>0</v>
      </c>
      <c r="O998" s="3">
        <f t="shared" si="16"/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918</v>
      </c>
      <c r="Y998" s="3">
        <v>0</v>
      </c>
      <c r="Z998" s="3">
        <v>1942.5219999999999</v>
      </c>
      <c r="AA998" s="3">
        <v>-1942.5219999999999</v>
      </c>
      <c r="AB998" s="3">
        <v>0</v>
      </c>
      <c r="AC998" s="3">
        <v>0</v>
      </c>
      <c r="AD998" s="3">
        <v>0</v>
      </c>
      <c r="AE998" s="3">
        <v>-1024.5219999999999</v>
      </c>
      <c r="AF998" s="3">
        <v>0</v>
      </c>
      <c r="AG998" s="3">
        <v>-1024.5219999999999</v>
      </c>
      <c r="AH998" s="3">
        <v>-1024.5219999999999</v>
      </c>
      <c r="AI998" s="3">
        <v>0</v>
      </c>
      <c r="AJ998" s="3">
        <v>0</v>
      </c>
    </row>
    <row r="999" spans="1:36" x14ac:dyDescent="0.2">
      <c r="A999" s="3" t="s">
        <v>75</v>
      </c>
      <c r="B999" s="3" t="s">
        <v>83</v>
      </c>
      <c r="C999" s="3" t="s">
        <v>90</v>
      </c>
      <c r="D999" s="3">
        <v>1</v>
      </c>
      <c r="E999" s="3">
        <v>2023</v>
      </c>
      <c r="F999" s="3">
        <v>1</v>
      </c>
      <c r="G999" s="3" t="s">
        <v>42</v>
      </c>
      <c r="H999" s="3" t="s">
        <v>46</v>
      </c>
      <c r="I999" s="5">
        <v>76250</v>
      </c>
      <c r="J999" s="3">
        <v>0</v>
      </c>
      <c r="K999" s="3">
        <v>76250</v>
      </c>
      <c r="L999" s="3">
        <v>49750</v>
      </c>
      <c r="M999" s="3">
        <v>26500</v>
      </c>
      <c r="N999" s="3">
        <v>0</v>
      </c>
      <c r="O999" s="3">
        <f t="shared" si="16"/>
        <v>0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26500</v>
      </c>
      <c r="Y999" s="3">
        <v>0</v>
      </c>
      <c r="Z999" s="3">
        <v>3399.6749999999997</v>
      </c>
      <c r="AA999" s="3">
        <v>-3399.6749999999997</v>
      </c>
      <c r="AB999" s="3">
        <v>0</v>
      </c>
      <c r="AC999" s="3">
        <v>0</v>
      </c>
      <c r="AD999" s="3">
        <v>0</v>
      </c>
      <c r="AE999" s="3">
        <v>23100.324999999997</v>
      </c>
      <c r="AF999" s="3">
        <v>0</v>
      </c>
      <c r="AG999" s="3">
        <v>23100.324999999997</v>
      </c>
      <c r="AH999" s="3">
        <v>23100.324999999997</v>
      </c>
      <c r="AI999" s="3">
        <v>0</v>
      </c>
      <c r="AJ999" s="3">
        <v>0</v>
      </c>
    </row>
    <row r="1000" spans="1:36" x14ac:dyDescent="0.2">
      <c r="A1000" s="3" t="s">
        <v>75</v>
      </c>
      <c r="B1000" s="3" t="s">
        <v>83</v>
      </c>
      <c r="C1000" s="3" t="s">
        <v>90</v>
      </c>
      <c r="D1000" s="3">
        <v>2</v>
      </c>
      <c r="E1000" s="3">
        <v>2023</v>
      </c>
      <c r="F1000" s="3">
        <v>1</v>
      </c>
      <c r="G1000" s="3" t="s">
        <v>42</v>
      </c>
      <c r="H1000" s="3" t="s">
        <v>46</v>
      </c>
      <c r="I1000" s="5">
        <v>132570</v>
      </c>
      <c r="J1000" s="3">
        <v>5913</v>
      </c>
      <c r="K1000" s="3">
        <v>126657</v>
      </c>
      <c r="L1000" s="3">
        <v>79542</v>
      </c>
      <c r="M1000" s="3">
        <v>47115</v>
      </c>
      <c r="N1000" s="3">
        <v>0</v>
      </c>
      <c r="O1000" s="3">
        <f t="shared" si="16"/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47115</v>
      </c>
      <c r="Y1000" s="3">
        <v>0</v>
      </c>
      <c r="Z1000" s="3">
        <v>3280.3919999999998</v>
      </c>
      <c r="AA1000" s="3">
        <v>-3280.3919999999998</v>
      </c>
      <c r="AB1000" s="3">
        <v>0</v>
      </c>
      <c r="AC1000" s="3">
        <v>0</v>
      </c>
      <c r="AD1000" s="3">
        <v>0</v>
      </c>
      <c r="AE1000" s="3">
        <v>43834.608000000007</v>
      </c>
      <c r="AF1000" s="3">
        <v>0</v>
      </c>
      <c r="AG1000" s="3">
        <v>43834.608000000007</v>
      </c>
      <c r="AH1000" s="3">
        <v>43834.608000000007</v>
      </c>
      <c r="AI1000" s="3">
        <v>0</v>
      </c>
      <c r="AJ1000" s="3">
        <v>0</v>
      </c>
    </row>
    <row r="1001" spans="1:36" x14ac:dyDescent="0.2">
      <c r="A1001" s="3" t="s">
        <v>75</v>
      </c>
      <c r="B1001" s="3" t="s">
        <v>83</v>
      </c>
      <c r="C1001" s="3" t="s">
        <v>90</v>
      </c>
      <c r="D1001" s="3">
        <v>1</v>
      </c>
      <c r="E1001" s="3">
        <v>2023</v>
      </c>
      <c r="F1001" s="3">
        <v>1</v>
      </c>
      <c r="G1001" s="3" t="s">
        <v>48</v>
      </c>
      <c r="H1001" s="3" t="s">
        <v>46</v>
      </c>
      <c r="I1001" s="5">
        <v>7121583</v>
      </c>
      <c r="J1001" s="3">
        <v>698502</v>
      </c>
      <c r="K1001" s="3">
        <v>6423081</v>
      </c>
      <c r="L1001" s="3">
        <v>4055029.3560000001</v>
      </c>
      <c r="M1001" s="3">
        <v>2368051.6440000003</v>
      </c>
      <c r="N1001" s="3">
        <v>2145204.5789999999</v>
      </c>
      <c r="O1001" s="3">
        <f t="shared" si="16"/>
        <v>33.398373444146195</v>
      </c>
      <c r="P1001" s="3">
        <v>565145.00699999998</v>
      </c>
      <c r="Q1001" s="3">
        <v>440803.25100000005</v>
      </c>
      <c r="R1001" s="3">
        <v>685338.31799999997</v>
      </c>
      <c r="S1001" s="3">
        <v>49971.957000000002</v>
      </c>
      <c r="T1001" s="3">
        <v>18459.357000000004</v>
      </c>
      <c r="U1001" s="3">
        <v>143468.63999999998</v>
      </c>
      <c r="V1001" s="3">
        <v>242018.04900000003</v>
      </c>
      <c r="W1001" s="3">
        <v>0</v>
      </c>
      <c r="X1001" s="3">
        <v>222847.065</v>
      </c>
      <c r="Y1001" s="3">
        <v>220.00735911087395</v>
      </c>
      <c r="Z1001" s="3">
        <v>185387.45400000003</v>
      </c>
      <c r="AA1001" s="3">
        <v>-185167.44664088916</v>
      </c>
      <c r="AB1001" s="3">
        <v>0</v>
      </c>
      <c r="AC1001" s="3">
        <v>0</v>
      </c>
      <c r="AD1001" s="3">
        <v>0</v>
      </c>
      <c r="AE1001" s="3">
        <v>37679.618359110864</v>
      </c>
      <c r="AF1001" s="3">
        <v>0</v>
      </c>
      <c r="AG1001" s="3">
        <v>37679.618359110864</v>
      </c>
      <c r="AH1001" s="3">
        <v>37679.618359110864</v>
      </c>
      <c r="AI1001" s="3">
        <v>7140000</v>
      </c>
      <c r="AJ1001" s="3">
        <v>0</v>
      </c>
    </row>
    <row r="1002" spans="1:36" x14ac:dyDescent="0.2">
      <c r="A1002" s="3" t="s">
        <v>75</v>
      </c>
      <c r="B1002" s="3" t="s">
        <v>83</v>
      </c>
      <c r="C1002" s="3" t="s">
        <v>90</v>
      </c>
      <c r="D1002" s="3">
        <v>2</v>
      </c>
      <c r="E1002" s="3">
        <v>2023</v>
      </c>
      <c r="F1002" s="3">
        <v>1</v>
      </c>
      <c r="G1002" s="3" t="s">
        <v>48</v>
      </c>
      <c r="H1002" s="3" t="s">
        <v>46</v>
      </c>
      <c r="I1002" s="5">
        <v>9866556</v>
      </c>
      <c r="J1002" s="3">
        <v>488451</v>
      </c>
      <c r="K1002" s="3">
        <v>9378105</v>
      </c>
      <c r="L1002" s="3">
        <v>5693009.8199999994</v>
      </c>
      <c r="M1002" s="3">
        <v>3685095.1799999997</v>
      </c>
      <c r="N1002" s="3">
        <v>1806797.73</v>
      </c>
      <c r="O1002" s="3">
        <f t="shared" si="16"/>
        <v>19.26612817834733</v>
      </c>
      <c r="P1002" s="3">
        <v>403675.005</v>
      </c>
      <c r="Q1002" s="3">
        <v>314859.46499999997</v>
      </c>
      <c r="R1002" s="3">
        <v>486574.03500000003</v>
      </c>
      <c r="S1002" s="3">
        <v>77397.25499999999</v>
      </c>
      <c r="T1002" s="3">
        <v>111388.755</v>
      </c>
      <c r="U1002" s="3">
        <v>227021.745</v>
      </c>
      <c r="V1002" s="3">
        <v>185881.47</v>
      </c>
      <c r="W1002" s="3">
        <v>0</v>
      </c>
      <c r="X1002" s="3">
        <v>1878297.45</v>
      </c>
      <c r="Y1002" s="3">
        <v>247.91880318876667</v>
      </c>
      <c r="Z1002" s="3">
        <v>110181.82500000001</v>
      </c>
      <c r="AA1002" s="3">
        <v>-109933.90619681124</v>
      </c>
      <c r="AB1002" s="3">
        <v>0</v>
      </c>
      <c r="AC1002" s="3">
        <v>0</v>
      </c>
      <c r="AD1002" s="3">
        <v>0</v>
      </c>
      <c r="AE1002" s="3">
        <v>1768363.5438031887</v>
      </c>
      <c r="AF1002" s="3">
        <v>0</v>
      </c>
      <c r="AG1002" s="3">
        <v>1768363.5438031887</v>
      </c>
      <c r="AH1002" s="3">
        <v>1768363.5438031887</v>
      </c>
      <c r="AI1002" s="3">
        <v>6300000</v>
      </c>
      <c r="AJ1002" s="3">
        <v>0</v>
      </c>
    </row>
    <row r="1003" spans="1:36" x14ac:dyDescent="0.2">
      <c r="A1003" s="3" t="s">
        <v>75</v>
      </c>
      <c r="B1003" s="3" t="s">
        <v>83</v>
      </c>
      <c r="C1003" s="3" t="s">
        <v>90</v>
      </c>
      <c r="D1003" s="3">
        <v>3</v>
      </c>
      <c r="E1003" s="3">
        <v>2023</v>
      </c>
      <c r="F1003" s="3">
        <v>1</v>
      </c>
      <c r="G1003" s="3" t="s">
        <v>48</v>
      </c>
      <c r="H1003" s="3" t="s">
        <v>46</v>
      </c>
      <c r="I1003" s="5">
        <v>11572827</v>
      </c>
      <c r="J1003" s="3">
        <v>947401</v>
      </c>
      <c r="K1003" s="3">
        <v>10625426</v>
      </c>
      <c r="L1003" s="3">
        <v>6840024.0710000005</v>
      </c>
      <c r="M1003" s="3">
        <v>3785401.9289999995</v>
      </c>
      <c r="N1003" s="3">
        <v>3333163.1689999998</v>
      </c>
      <c r="O1003" s="3">
        <f t="shared" si="16"/>
        <v>31.369689732910473</v>
      </c>
      <c r="P1003" s="3">
        <v>780093.5909999999</v>
      </c>
      <c r="Q1003" s="3">
        <v>611160.90600000008</v>
      </c>
      <c r="R1003" s="3">
        <v>1038212.9920000001</v>
      </c>
      <c r="S1003" s="3">
        <v>223505.87099999998</v>
      </c>
      <c r="T1003" s="3">
        <v>75742.2</v>
      </c>
      <c r="U1003" s="3">
        <v>216616.86300000001</v>
      </c>
      <c r="V1003" s="3">
        <v>387830.74599999998</v>
      </c>
      <c r="W1003" s="3">
        <v>0</v>
      </c>
      <c r="X1003" s="3">
        <v>452238.75999999995</v>
      </c>
      <c r="Y1003" s="3">
        <v>238.45532441186202</v>
      </c>
      <c r="Z1003" s="3">
        <v>250879.05800000002</v>
      </c>
      <c r="AA1003" s="3">
        <v>-250640.60267558813</v>
      </c>
      <c r="AB1003" s="3">
        <v>0</v>
      </c>
      <c r="AC1003" s="3">
        <v>0</v>
      </c>
      <c r="AD1003" s="3">
        <v>0</v>
      </c>
      <c r="AE1003" s="3">
        <v>201598.15732441188</v>
      </c>
      <c r="AF1003" s="3">
        <v>0</v>
      </c>
      <c r="AG1003" s="3">
        <v>201598.15732441188</v>
      </c>
      <c r="AH1003" s="3">
        <v>201598.15732441188</v>
      </c>
      <c r="AI1003" s="3">
        <v>12760000</v>
      </c>
      <c r="AJ1003" s="3">
        <v>0</v>
      </c>
    </row>
    <row r="1004" spans="1:36" x14ac:dyDescent="0.2">
      <c r="A1004" s="3" t="s">
        <v>75</v>
      </c>
      <c r="B1004" s="3" t="s">
        <v>83</v>
      </c>
      <c r="C1004" s="3" t="s">
        <v>91</v>
      </c>
      <c r="D1004" s="3">
        <v>3</v>
      </c>
      <c r="E1004" s="3">
        <v>2023</v>
      </c>
      <c r="F1004" s="3">
        <v>1</v>
      </c>
      <c r="G1004" s="3" t="s">
        <v>42</v>
      </c>
      <c r="H1004" s="3" t="s">
        <v>46</v>
      </c>
      <c r="I1004" s="5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 t="e">
        <f t="shared" si="16"/>
        <v>#DIV/0!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</v>
      </c>
      <c r="AD1004" s="3">
        <v>0</v>
      </c>
      <c r="AE1004" s="3">
        <v>0</v>
      </c>
      <c r="AF1004" s="3">
        <v>0</v>
      </c>
      <c r="AG1004" s="3">
        <v>0</v>
      </c>
      <c r="AH1004" s="3">
        <v>0</v>
      </c>
      <c r="AI1004" s="3">
        <v>0</v>
      </c>
      <c r="AJ1004" s="3">
        <v>0</v>
      </c>
    </row>
    <row r="1005" spans="1:36" x14ac:dyDescent="0.2">
      <c r="A1005" s="3" t="s">
        <v>75</v>
      </c>
      <c r="B1005" s="3" t="s">
        <v>83</v>
      </c>
      <c r="C1005" s="3" t="s">
        <v>91</v>
      </c>
      <c r="D1005" s="3">
        <v>3</v>
      </c>
      <c r="E1005" s="3">
        <v>2023</v>
      </c>
      <c r="F1005" s="3">
        <v>1</v>
      </c>
      <c r="G1005" s="3" t="s">
        <v>48</v>
      </c>
      <c r="H1005" s="3" t="s">
        <v>46</v>
      </c>
      <c r="I1005" s="5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 t="e">
        <f t="shared" si="16"/>
        <v>#DIV/0!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93327.125</v>
      </c>
      <c r="AA1005" s="3">
        <v>-93327.125</v>
      </c>
      <c r="AB1005" s="3">
        <v>0</v>
      </c>
      <c r="AC1005" s="3">
        <v>0</v>
      </c>
      <c r="AD1005" s="3">
        <v>0</v>
      </c>
      <c r="AE1005" s="3">
        <v>-93327.125</v>
      </c>
      <c r="AF1005" s="3">
        <v>0</v>
      </c>
      <c r="AG1005" s="3">
        <v>-93327.125</v>
      </c>
      <c r="AH1005" s="3">
        <v>-93327.125</v>
      </c>
      <c r="AI1005" s="3">
        <v>0</v>
      </c>
      <c r="AJ1005" s="3">
        <v>0</v>
      </c>
    </row>
    <row r="1006" spans="1:36" x14ac:dyDescent="0.2">
      <c r="A1006" s="3" t="s">
        <v>75</v>
      </c>
      <c r="B1006" s="3" t="s">
        <v>83</v>
      </c>
      <c r="C1006" s="3" t="s">
        <v>91</v>
      </c>
      <c r="D1006" s="3">
        <v>1</v>
      </c>
      <c r="E1006" s="3">
        <v>2023</v>
      </c>
      <c r="F1006" s="3">
        <v>1</v>
      </c>
      <c r="G1006" s="3" t="s">
        <v>42</v>
      </c>
      <c r="H1006" s="3" t="s">
        <v>46</v>
      </c>
      <c r="I1006" s="5">
        <v>20800</v>
      </c>
      <c r="J1006" s="3">
        <v>0</v>
      </c>
      <c r="K1006" s="3">
        <v>20800</v>
      </c>
      <c r="L1006" s="3">
        <v>14560</v>
      </c>
      <c r="M1006" s="3">
        <v>6240</v>
      </c>
      <c r="N1006" s="3">
        <v>0</v>
      </c>
      <c r="O1006" s="3">
        <f t="shared" si="16"/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6240</v>
      </c>
      <c r="Y1006" s="3">
        <v>0</v>
      </c>
      <c r="Z1006" s="3">
        <v>1346.644</v>
      </c>
      <c r="AA1006" s="3">
        <v>-1346.644</v>
      </c>
      <c r="AB1006" s="3">
        <v>0</v>
      </c>
      <c r="AC1006" s="3">
        <v>0</v>
      </c>
      <c r="AD1006" s="3">
        <v>0</v>
      </c>
      <c r="AE1006" s="3">
        <v>4893.3560000000007</v>
      </c>
      <c r="AF1006" s="3">
        <v>0</v>
      </c>
      <c r="AG1006" s="3">
        <v>4893.3560000000007</v>
      </c>
      <c r="AH1006" s="3">
        <v>4893.3560000000007</v>
      </c>
      <c r="AI1006" s="3">
        <v>0</v>
      </c>
      <c r="AJ1006" s="3">
        <v>0</v>
      </c>
    </row>
    <row r="1007" spans="1:36" x14ac:dyDescent="0.2">
      <c r="A1007" s="3" t="s">
        <v>75</v>
      </c>
      <c r="B1007" s="3" t="s">
        <v>83</v>
      </c>
      <c r="C1007" s="3" t="s">
        <v>91</v>
      </c>
      <c r="D1007" s="3">
        <v>2</v>
      </c>
      <c r="E1007" s="3">
        <v>2023</v>
      </c>
      <c r="F1007" s="3">
        <v>1</v>
      </c>
      <c r="G1007" s="3" t="s">
        <v>42</v>
      </c>
      <c r="H1007" s="3" t="s">
        <v>46</v>
      </c>
      <c r="I1007" s="5">
        <v>29160</v>
      </c>
      <c r="J1007" s="3">
        <v>0</v>
      </c>
      <c r="K1007" s="3">
        <v>29160</v>
      </c>
      <c r="L1007" s="3">
        <v>17496</v>
      </c>
      <c r="M1007" s="3">
        <v>11664</v>
      </c>
      <c r="N1007" s="3">
        <v>0</v>
      </c>
      <c r="O1007" s="3">
        <f t="shared" si="16"/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11664</v>
      </c>
      <c r="Y1007" s="3">
        <v>0</v>
      </c>
      <c r="Z1007" s="3">
        <v>48.618000000000009</v>
      </c>
      <c r="AA1007" s="3">
        <v>-48.618000000000009</v>
      </c>
      <c r="AB1007" s="3">
        <v>0</v>
      </c>
      <c r="AC1007" s="3">
        <v>0</v>
      </c>
      <c r="AD1007" s="3">
        <v>0</v>
      </c>
      <c r="AE1007" s="3">
        <v>11615.382</v>
      </c>
      <c r="AF1007" s="3">
        <v>0</v>
      </c>
      <c r="AG1007" s="3">
        <v>11615.382</v>
      </c>
      <c r="AH1007" s="3">
        <v>11615.382</v>
      </c>
      <c r="AI1007" s="3">
        <v>0</v>
      </c>
      <c r="AJ1007" s="3">
        <v>0</v>
      </c>
    </row>
    <row r="1008" spans="1:36" x14ac:dyDescent="0.2">
      <c r="A1008" s="3" t="s">
        <v>75</v>
      </c>
      <c r="B1008" s="3" t="s">
        <v>83</v>
      </c>
      <c r="C1008" s="3" t="s">
        <v>91</v>
      </c>
      <c r="D1008" s="3">
        <v>1</v>
      </c>
      <c r="E1008" s="3">
        <v>2023</v>
      </c>
      <c r="F1008" s="3">
        <v>1</v>
      </c>
      <c r="G1008" s="3" t="s">
        <v>48</v>
      </c>
      <c r="H1008" s="3" t="s">
        <v>46</v>
      </c>
      <c r="I1008" s="5">
        <v>406584</v>
      </c>
      <c r="J1008" s="3">
        <v>26880</v>
      </c>
      <c r="K1008" s="3">
        <v>379704</v>
      </c>
      <c r="L1008" s="3">
        <v>228222.96</v>
      </c>
      <c r="M1008" s="3">
        <v>151481.03999999998</v>
      </c>
      <c r="N1008" s="3">
        <v>1890631.5840000003</v>
      </c>
      <c r="O1008" s="3">
        <f t="shared" si="16"/>
        <v>497.92248277605722</v>
      </c>
      <c r="P1008" s="3">
        <v>613156.29599999997</v>
      </c>
      <c r="Q1008" s="3">
        <v>248829.96</v>
      </c>
      <c r="R1008" s="3">
        <v>831337.10399999993</v>
      </c>
      <c r="S1008" s="3">
        <v>13779.672</v>
      </c>
      <c r="T1008" s="3">
        <v>25038.456000000002</v>
      </c>
      <c r="U1008" s="3">
        <v>10249.200000000001</v>
      </c>
      <c r="V1008" s="3">
        <v>148240.89600000001</v>
      </c>
      <c r="W1008" s="3">
        <v>0</v>
      </c>
      <c r="X1008" s="3">
        <v>-1739150.544</v>
      </c>
      <c r="Y1008" s="3">
        <v>14.073571262776337</v>
      </c>
      <c r="Z1008" s="3">
        <v>159906.984</v>
      </c>
      <c r="AA1008" s="3">
        <v>-159892.9104287372</v>
      </c>
      <c r="AB1008" s="3">
        <v>0</v>
      </c>
      <c r="AC1008" s="3">
        <v>0</v>
      </c>
      <c r="AD1008" s="3">
        <v>0</v>
      </c>
      <c r="AE1008" s="3">
        <v>-1899043.4544287375</v>
      </c>
      <c r="AF1008" s="3">
        <v>0</v>
      </c>
      <c r="AG1008" s="3">
        <v>-1899043.4544287375</v>
      </c>
      <c r="AH1008" s="3">
        <v>-1899043.4544287375</v>
      </c>
      <c r="AI1008" s="3">
        <v>1200000</v>
      </c>
      <c r="AJ1008" s="3">
        <v>0</v>
      </c>
    </row>
    <row r="1009" spans="1:36" x14ac:dyDescent="0.2">
      <c r="A1009" s="3" t="s">
        <v>75</v>
      </c>
      <c r="B1009" s="3" t="s">
        <v>83</v>
      </c>
      <c r="C1009" s="3" t="s">
        <v>91</v>
      </c>
      <c r="D1009" s="3">
        <v>2</v>
      </c>
      <c r="E1009" s="3">
        <v>2023</v>
      </c>
      <c r="F1009" s="3">
        <v>1</v>
      </c>
      <c r="G1009" s="3" t="s">
        <v>48</v>
      </c>
      <c r="H1009" s="3" t="s">
        <v>46</v>
      </c>
      <c r="I1009" s="5">
        <v>596728.00000000012</v>
      </c>
      <c r="J1009" s="3">
        <v>9130.0000000000018</v>
      </c>
      <c r="K1009" s="3">
        <v>587598.00000000012</v>
      </c>
      <c r="L1009" s="3">
        <v>386443.42</v>
      </c>
      <c r="M1009" s="3">
        <v>201154.58</v>
      </c>
      <c r="N1009" s="3">
        <v>1542887.764</v>
      </c>
      <c r="O1009" s="3">
        <f t="shared" si="16"/>
        <v>262.57539406192666</v>
      </c>
      <c r="P1009" s="3">
        <v>562059.93800000008</v>
      </c>
      <c r="Q1009" s="3">
        <v>228094.13</v>
      </c>
      <c r="R1009" s="3">
        <v>535205.1100000001</v>
      </c>
      <c r="S1009" s="3">
        <v>14146.902000000002</v>
      </c>
      <c r="T1009" s="3">
        <v>83955.454000000012</v>
      </c>
      <c r="U1009" s="3">
        <v>18709.284000000003</v>
      </c>
      <c r="V1009" s="3">
        <v>100716.94600000001</v>
      </c>
      <c r="W1009" s="3">
        <v>0</v>
      </c>
      <c r="X1009" s="3">
        <v>-1341733.1840000001</v>
      </c>
      <c r="Y1009" s="3">
        <v>13.532894075625755</v>
      </c>
      <c r="Z1009" s="3">
        <v>168903.12999999998</v>
      </c>
      <c r="AA1009" s="3">
        <v>-168889.59710592439</v>
      </c>
      <c r="AB1009" s="3">
        <v>0</v>
      </c>
      <c r="AC1009" s="3">
        <v>0</v>
      </c>
      <c r="AD1009" s="3">
        <v>0</v>
      </c>
      <c r="AE1009" s="3">
        <v>-1510622.7811059244</v>
      </c>
      <c r="AF1009" s="3">
        <v>0</v>
      </c>
      <c r="AG1009" s="3">
        <v>-1510622.7811059244</v>
      </c>
      <c r="AH1009" s="3">
        <v>-1510622.7811059244</v>
      </c>
      <c r="AI1009" s="3">
        <v>2200000.0000000005</v>
      </c>
      <c r="AJ1009" s="3">
        <v>0</v>
      </c>
    </row>
    <row r="1010" spans="1:36" x14ac:dyDescent="0.2">
      <c r="A1010" s="3" t="s">
        <v>75</v>
      </c>
      <c r="B1010" s="3" t="s">
        <v>83</v>
      </c>
      <c r="C1010" s="3" t="s">
        <v>92</v>
      </c>
      <c r="D1010" s="3">
        <v>3</v>
      </c>
      <c r="E1010" s="3">
        <v>2023</v>
      </c>
      <c r="F1010" s="3">
        <v>1</v>
      </c>
      <c r="G1010" s="3" t="s">
        <v>42</v>
      </c>
      <c r="H1010" s="3" t="s">
        <v>46</v>
      </c>
      <c r="I1010" s="5">
        <v>136500</v>
      </c>
      <c r="J1010" s="3">
        <v>34170</v>
      </c>
      <c r="K1010" s="3">
        <v>102330</v>
      </c>
      <c r="L1010" s="3">
        <v>81900</v>
      </c>
      <c r="M1010" s="3">
        <v>20430</v>
      </c>
      <c r="N1010" s="3">
        <v>0</v>
      </c>
      <c r="O1010" s="3">
        <f t="shared" si="16"/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20430</v>
      </c>
      <c r="Y1010" s="3">
        <v>0</v>
      </c>
      <c r="Z1010" s="3">
        <v>5162.58</v>
      </c>
      <c r="AA1010" s="3">
        <v>-5162.58</v>
      </c>
      <c r="AB1010" s="3">
        <v>0</v>
      </c>
      <c r="AC1010" s="3">
        <v>0</v>
      </c>
      <c r="AD1010" s="3">
        <v>0</v>
      </c>
      <c r="AE1010" s="3">
        <v>15267.42</v>
      </c>
      <c r="AF1010" s="3">
        <v>0</v>
      </c>
      <c r="AG1010" s="3">
        <v>15267.42</v>
      </c>
      <c r="AH1010" s="3">
        <v>15267.42</v>
      </c>
      <c r="AI1010" s="3">
        <v>0</v>
      </c>
      <c r="AJ1010" s="3">
        <v>0</v>
      </c>
    </row>
    <row r="1011" spans="1:36" x14ac:dyDescent="0.2">
      <c r="A1011" s="3" t="s">
        <v>75</v>
      </c>
      <c r="B1011" s="3" t="s">
        <v>83</v>
      </c>
      <c r="C1011" s="3" t="s">
        <v>92</v>
      </c>
      <c r="D1011" s="3">
        <v>2</v>
      </c>
      <c r="E1011" s="3">
        <v>2023</v>
      </c>
      <c r="F1011" s="3">
        <v>1</v>
      </c>
      <c r="G1011" s="3" t="s">
        <v>42</v>
      </c>
      <c r="H1011" s="3" t="s">
        <v>46</v>
      </c>
      <c r="I1011" s="5">
        <v>453400</v>
      </c>
      <c r="J1011" s="3">
        <v>40140</v>
      </c>
      <c r="K1011" s="3">
        <v>413260</v>
      </c>
      <c r="L1011" s="3">
        <v>282040</v>
      </c>
      <c r="M1011" s="3">
        <v>131220</v>
      </c>
      <c r="N1011" s="3">
        <v>0</v>
      </c>
      <c r="O1011" s="3">
        <f t="shared" si="16"/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131220</v>
      </c>
      <c r="Y1011" s="3">
        <v>0</v>
      </c>
      <c r="Z1011" s="3">
        <v>4608.55</v>
      </c>
      <c r="AA1011" s="3">
        <v>-4608.55</v>
      </c>
      <c r="AB1011" s="3">
        <v>0</v>
      </c>
      <c r="AC1011" s="3">
        <v>0</v>
      </c>
      <c r="AD1011" s="3">
        <v>0</v>
      </c>
      <c r="AE1011" s="3">
        <v>126611.45000000001</v>
      </c>
      <c r="AF1011" s="3">
        <v>0</v>
      </c>
      <c r="AG1011" s="3">
        <v>126611.45000000001</v>
      </c>
      <c r="AH1011" s="3">
        <v>126611.45000000001</v>
      </c>
      <c r="AI1011" s="3">
        <v>0</v>
      </c>
      <c r="AJ1011" s="3">
        <v>0</v>
      </c>
    </row>
    <row r="1012" spans="1:36" x14ac:dyDescent="0.2">
      <c r="A1012" s="3" t="s">
        <v>75</v>
      </c>
      <c r="B1012" s="3" t="s">
        <v>83</v>
      </c>
      <c r="C1012" s="3" t="s">
        <v>92</v>
      </c>
      <c r="D1012" s="3">
        <v>1</v>
      </c>
      <c r="E1012" s="3">
        <v>2023</v>
      </c>
      <c r="F1012" s="3">
        <v>1</v>
      </c>
      <c r="G1012" s="3" t="s">
        <v>42</v>
      </c>
      <c r="H1012" s="3" t="s">
        <v>46</v>
      </c>
      <c r="I1012" s="5">
        <v>891432</v>
      </c>
      <c r="J1012" s="3">
        <v>89154</v>
      </c>
      <c r="K1012" s="3">
        <v>802278</v>
      </c>
      <c r="L1012" s="3">
        <v>540619.19999999995</v>
      </c>
      <c r="M1012" s="3">
        <v>261658.80000000002</v>
      </c>
      <c r="N1012" s="3">
        <v>0</v>
      </c>
      <c r="O1012" s="3">
        <f t="shared" si="16"/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261658.80000000002</v>
      </c>
      <c r="Y1012" s="3">
        <v>0</v>
      </c>
      <c r="Z1012" s="3">
        <v>3879.864</v>
      </c>
      <c r="AA1012" s="3">
        <v>-3879.864</v>
      </c>
      <c r="AB1012" s="3">
        <v>0</v>
      </c>
      <c r="AC1012" s="3">
        <v>0</v>
      </c>
      <c r="AD1012" s="3">
        <v>0</v>
      </c>
      <c r="AE1012" s="3">
        <v>257778.93600000005</v>
      </c>
      <c r="AF1012" s="3">
        <v>0</v>
      </c>
      <c r="AG1012" s="3">
        <v>257778.93600000005</v>
      </c>
      <c r="AH1012" s="3">
        <v>257778.93600000005</v>
      </c>
      <c r="AI1012" s="3">
        <v>0</v>
      </c>
      <c r="AJ1012" s="3">
        <v>0</v>
      </c>
    </row>
    <row r="1013" spans="1:36" x14ac:dyDescent="0.2">
      <c r="A1013" s="3" t="s">
        <v>75</v>
      </c>
      <c r="B1013" s="3" t="s">
        <v>83</v>
      </c>
      <c r="C1013" s="3" t="s">
        <v>92</v>
      </c>
      <c r="D1013" s="3">
        <v>3</v>
      </c>
      <c r="E1013" s="3">
        <v>2023</v>
      </c>
      <c r="F1013" s="3">
        <v>1</v>
      </c>
      <c r="G1013" s="3" t="s">
        <v>48</v>
      </c>
      <c r="H1013" s="3" t="s">
        <v>46</v>
      </c>
      <c r="I1013" s="5">
        <v>3196856</v>
      </c>
      <c r="J1013" s="3">
        <v>258440</v>
      </c>
      <c r="K1013" s="3">
        <v>2938416</v>
      </c>
      <c r="L1013" s="3">
        <v>1877425.1470000003</v>
      </c>
      <c r="M1013" s="3">
        <v>1060990.8529999999</v>
      </c>
      <c r="N1013" s="3">
        <v>1394707.3659999999</v>
      </c>
      <c r="O1013" s="3">
        <f t="shared" si="16"/>
        <v>47.464598817866495</v>
      </c>
      <c r="P1013" s="3">
        <v>459624.37300000002</v>
      </c>
      <c r="Q1013" s="3">
        <v>187445.23199999999</v>
      </c>
      <c r="R1013" s="3">
        <v>443627.80800000008</v>
      </c>
      <c r="S1013" s="3">
        <v>53591.837000000007</v>
      </c>
      <c r="T1013" s="3">
        <v>43760.392</v>
      </c>
      <c r="U1013" s="3">
        <v>63326.353999999999</v>
      </c>
      <c r="V1013" s="3">
        <v>143331.37</v>
      </c>
      <c r="W1013" s="3">
        <v>0</v>
      </c>
      <c r="X1013" s="3">
        <v>-333716.51299999998</v>
      </c>
      <c r="Y1013" s="3">
        <v>66.83541742606144</v>
      </c>
      <c r="Z1013" s="3">
        <v>173995.99100000004</v>
      </c>
      <c r="AA1013" s="3">
        <v>-173929.15558257396</v>
      </c>
      <c r="AB1013" s="3">
        <v>0</v>
      </c>
      <c r="AC1013" s="3">
        <v>0</v>
      </c>
      <c r="AD1013" s="3">
        <v>0</v>
      </c>
      <c r="AE1013" s="3">
        <v>-507645.66858257394</v>
      </c>
      <c r="AF1013" s="3">
        <v>0</v>
      </c>
      <c r="AG1013" s="3">
        <v>-507645.66858257394</v>
      </c>
      <c r="AH1013" s="3">
        <v>-507645.66858257394</v>
      </c>
      <c r="AI1013" s="3">
        <v>5070000</v>
      </c>
      <c r="AJ1013" s="3">
        <v>0</v>
      </c>
    </row>
    <row r="1014" spans="1:36" x14ac:dyDescent="0.2">
      <c r="A1014" s="3" t="s">
        <v>75</v>
      </c>
      <c r="B1014" s="3" t="s">
        <v>83</v>
      </c>
      <c r="C1014" s="3" t="s">
        <v>92</v>
      </c>
      <c r="D1014" s="3">
        <v>1</v>
      </c>
      <c r="E1014" s="3">
        <v>2023</v>
      </c>
      <c r="F1014" s="3">
        <v>1</v>
      </c>
      <c r="G1014" s="3" t="s">
        <v>48</v>
      </c>
      <c r="H1014" s="3" t="s">
        <v>46</v>
      </c>
      <c r="I1014" s="5">
        <v>5540220</v>
      </c>
      <c r="J1014" s="3">
        <v>563480</v>
      </c>
      <c r="K1014" s="3">
        <v>4976740</v>
      </c>
      <c r="L1014" s="3">
        <v>3221203.54</v>
      </c>
      <c r="M1014" s="3">
        <v>1755536.46</v>
      </c>
      <c r="N1014" s="3">
        <v>2117974.1</v>
      </c>
      <c r="O1014" s="3">
        <f t="shared" si="16"/>
        <v>42.557459300666707</v>
      </c>
      <c r="P1014" s="3">
        <v>703609.5</v>
      </c>
      <c r="Q1014" s="3">
        <v>257577.28</v>
      </c>
      <c r="R1014" s="3">
        <v>695694.06</v>
      </c>
      <c r="S1014" s="3">
        <v>82338.58</v>
      </c>
      <c r="T1014" s="3">
        <v>22657.199999999997</v>
      </c>
      <c r="U1014" s="3">
        <v>135629.66</v>
      </c>
      <c r="V1014" s="3">
        <v>220467.82</v>
      </c>
      <c r="W1014" s="3">
        <v>0</v>
      </c>
      <c r="X1014" s="3">
        <v>-362437.64</v>
      </c>
      <c r="Y1014" s="3">
        <v>163.10072517466278</v>
      </c>
      <c r="Z1014" s="3">
        <v>238698.82</v>
      </c>
      <c r="AA1014" s="3">
        <v>-238535.71927482536</v>
      </c>
      <c r="AB1014" s="3">
        <v>0</v>
      </c>
      <c r="AC1014" s="3">
        <v>0</v>
      </c>
      <c r="AD1014" s="3">
        <v>0</v>
      </c>
      <c r="AE1014" s="3">
        <v>-600973.35927482531</v>
      </c>
      <c r="AF1014" s="3">
        <v>0</v>
      </c>
      <c r="AG1014" s="3">
        <v>-600973.35927482531</v>
      </c>
      <c r="AH1014" s="3">
        <v>-600973.35927482531</v>
      </c>
      <c r="AI1014" s="3">
        <v>9000000</v>
      </c>
      <c r="AJ1014" s="3">
        <v>0</v>
      </c>
    </row>
    <row r="1015" spans="1:36" x14ac:dyDescent="0.2">
      <c r="A1015" s="3" t="s">
        <v>75</v>
      </c>
      <c r="B1015" s="3" t="s">
        <v>83</v>
      </c>
      <c r="C1015" s="3" t="s">
        <v>92</v>
      </c>
      <c r="D1015" s="3">
        <v>2</v>
      </c>
      <c r="E1015" s="3">
        <v>2023</v>
      </c>
      <c r="F1015" s="3">
        <v>1</v>
      </c>
      <c r="G1015" s="3" t="s">
        <v>48</v>
      </c>
      <c r="H1015" s="3" t="s">
        <v>46</v>
      </c>
      <c r="I1015" s="5">
        <v>10585014</v>
      </c>
      <c r="J1015" s="3">
        <v>561089.95000000007</v>
      </c>
      <c r="K1015" s="3">
        <v>10023924.050000001</v>
      </c>
      <c r="L1015" s="3">
        <v>6700897.7699999996</v>
      </c>
      <c r="M1015" s="3">
        <v>3323026.2800000003</v>
      </c>
      <c r="N1015" s="3">
        <v>2453657.5109999999</v>
      </c>
      <c r="O1015" s="3">
        <f t="shared" si="16"/>
        <v>24.478013787424892</v>
      </c>
      <c r="P1015" s="3">
        <v>718742.92499999993</v>
      </c>
      <c r="Q1015" s="3">
        <v>244698.41599999997</v>
      </c>
      <c r="R1015" s="3">
        <v>749736.94099999988</v>
      </c>
      <c r="S1015" s="3">
        <v>76587.232999999993</v>
      </c>
      <c r="T1015" s="3">
        <v>147719.64199999999</v>
      </c>
      <c r="U1015" s="3">
        <v>232101.90999999997</v>
      </c>
      <c r="V1015" s="3">
        <v>284070.44400000002</v>
      </c>
      <c r="W1015" s="3">
        <v>0</v>
      </c>
      <c r="X1015" s="3">
        <v>869368.76899999985</v>
      </c>
      <c r="Y1015" s="3">
        <v>223.56022248044604</v>
      </c>
      <c r="Z1015" s="3">
        <v>231082.902</v>
      </c>
      <c r="AA1015" s="3">
        <v>-230859.34177751956</v>
      </c>
      <c r="AB1015" s="3">
        <v>0</v>
      </c>
      <c r="AC1015" s="3">
        <v>0</v>
      </c>
      <c r="AD1015" s="3">
        <v>0</v>
      </c>
      <c r="AE1015" s="3">
        <v>638509.42722248042</v>
      </c>
      <c r="AF1015" s="3">
        <v>0</v>
      </c>
      <c r="AG1015" s="3">
        <v>638509.42722248042</v>
      </c>
      <c r="AH1015" s="3">
        <v>638509.42722248042</v>
      </c>
      <c r="AI1015" s="3">
        <v>8550000</v>
      </c>
      <c r="AJ1015" s="3">
        <v>0</v>
      </c>
    </row>
    <row r="1016" spans="1:36" x14ac:dyDescent="0.2">
      <c r="A1016" s="3" t="s">
        <v>75</v>
      </c>
      <c r="B1016" s="3" t="s">
        <v>83</v>
      </c>
      <c r="C1016" s="3" t="s">
        <v>93</v>
      </c>
      <c r="D1016" s="3">
        <v>1</v>
      </c>
      <c r="E1016" s="3">
        <v>2023</v>
      </c>
      <c r="F1016" s="3">
        <v>1</v>
      </c>
      <c r="G1016" s="3" t="s">
        <v>42</v>
      </c>
      <c r="H1016" s="3" t="s">
        <v>46</v>
      </c>
      <c r="I1016" s="5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 t="e">
        <f t="shared" si="16"/>
        <v>#DIV/0!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</row>
    <row r="1017" spans="1:36" x14ac:dyDescent="0.2">
      <c r="A1017" s="3" t="s">
        <v>75</v>
      </c>
      <c r="B1017" s="3" t="s">
        <v>83</v>
      </c>
      <c r="C1017" s="3" t="s">
        <v>93</v>
      </c>
      <c r="D1017" s="3">
        <v>1</v>
      </c>
      <c r="E1017" s="3">
        <v>2023</v>
      </c>
      <c r="F1017" s="3">
        <v>1</v>
      </c>
      <c r="G1017" s="3" t="s">
        <v>39</v>
      </c>
      <c r="H1017" s="3" t="s">
        <v>46</v>
      </c>
      <c r="I1017" s="5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 t="e">
        <f t="shared" si="16"/>
        <v>#DIV/0!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  <c r="AJ1017" s="3">
        <v>0</v>
      </c>
    </row>
    <row r="1018" spans="1:36" x14ac:dyDescent="0.2">
      <c r="A1018" s="3" t="s">
        <v>75</v>
      </c>
      <c r="B1018" s="3" t="s">
        <v>83</v>
      </c>
      <c r="C1018" s="3" t="s">
        <v>93</v>
      </c>
      <c r="D1018" s="3">
        <v>2</v>
      </c>
      <c r="E1018" s="3">
        <v>2023</v>
      </c>
      <c r="F1018" s="3">
        <v>1</v>
      </c>
      <c r="G1018" s="3" t="s">
        <v>42</v>
      </c>
      <c r="H1018" s="3" t="s">
        <v>46</v>
      </c>
      <c r="I1018" s="5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 t="e">
        <f t="shared" si="16"/>
        <v>#DIV/0!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0</v>
      </c>
      <c r="AJ1018" s="3">
        <v>0</v>
      </c>
    </row>
    <row r="1019" spans="1:36" x14ac:dyDescent="0.2">
      <c r="A1019" s="3" t="s">
        <v>75</v>
      </c>
      <c r="B1019" s="3" t="s">
        <v>83</v>
      </c>
      <c r="C1019" s="3" t="s">
        <v>93</v>
      </c>
      <c r="D1019" s="3">
        <v>2</v>
      </c>
      <c r="E1019" s="3">
        <v>2023</v>
      </c>
      <c r="F1019" s="3">
        <v>1</v>
      </c>
      <c r="G1019" s="3" t="s">
        <v>39</v>
      </c>
      <c r="H1019" s="3" t="s">
        <v>46</v>
      </c>
      <c r="I1019" s="5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 t="e">
        <f t="shared" si="16"/>
        <v>#DIV/0!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0</v>
      </c>
      <c r="AJ1019" s="3">
        <v>0</v>
      </c>
    </row>
    <row r="1020" spans="1:36" x14ac:dyDescent="0.2">
      <c r="A1020" s="3" t="s">
        <v>75</v>
      </c>
      <c r="B1020" s="3" t="s">
        <v>83</v>
      </c>
      <c r="C1020" s="3" t="s">
        <v>93</v>
      </c>
      <c r="D1020" s="3">
        <v>3</v>
      </c>
      <c r="E1020" s="3">
        <v>2023</v>
      </c>
      <c r="F1020" s="3">
        <v>1</v>
      </c>
      <c r="G1020" s="3" t="s">
        <v>42</v>
      </c>
      <c r="H1020" s="3" t="s">
        <v>46</v>
      </c>
      <c r="I1020" s="5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 t="e">
        <f t="shared" si="16"/>
        <v>#DIV/0!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  <c r="AF1020" s="3">
        <v>0</v>
      </c>
      <c r="AG1020" s="3">
        <v>0</v>
      </c>
      <c r="AH1020" s="3">
        <v>0</v>
      </c>
      <c r="AI1020" s="3">
        <v>0</v>
      </c>
      <c r="AJ1020" s="3">
        <v>0</v>
      </c>
    </row>
    <row r="1021" spans="1:36" x14ac:dyDescent="0.2">
      <c r="A1021" s="3" t="s">
        <v>75</v>
      </c>
      <c r="B1021" s="3" t="s">
        <v>83</v>
      </c>
      <c r="C1021" s="3" t="s">
        <v>93</v>
      </c>
      <c r="D1021" s="3">
        <v>3</v>
      </c>
      <c r="E1021" s="3">
        <v>2023</v>
      </c>
      <c r="F1021" s="3">
        <v>1</v>
      </c>
      <c r="G1021" s="3" t="s">
        <v>48</v>
      </c>
      <c r="H1021" s="3" t="s">
        <v>46</v>
      </c>
      <c r="I1021" s="5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 t="e">
        <f t="shared" si="16"/>
        <v>#DIV/0!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0</v>
      </c>
      <c r="AJ1021" s="3">
        <v>0</v>
      </c>
    </row>
    <row r="1022" spans="1:36" x14ac:dyDescent="0.2">
      <c r="A1022" s="3" t="s">
        <v>75</v>
      </c>
      <c r="B1022" s="3" t="s">
        <v>83</v>
      </c>
      <c r="C1022" s="3" t="s">
        <v>93</v>
      </c>
      <c r="D1022" s="3">
        <v>3</v>
      </c>
      <c r="E1022" s="3">
        <v>2023</v>
      </c>
      <c r="F1022" s="3">
        <v>1</v>
      </c>
      <c r="G1022" s="3" t="s">
        <v>39</v>
      </c>
      <c r="H1022" s="3" t="s">
        <v>46</v>
      </c>
      <c r="I1022" s="5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 t="e">
        <f t="shared" si="16"/>
        <v>#DIV/0!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  <c r="AJ1022" s="3">
        <v>0</v>
      </c>
    </row>
    <row r="1023" spans="1:36" x14ac:dyDescent="0.2">
      <c r="A1023" s="3" t="s">
        <v>75</v>
      </c>
      <c r="B1023" s="3" t="s">
        <v>83</v>
      </c>
      <c r="C1023" s="3" t="s">
        <v>93</v>
      </c>
      <c r="D1023" s="3">
        <v>2</v>
      </c>
      <c r="E1023" s="3">
        <v>2023</v>
      </c>
      <c r="F1023" s="3">
        <v>1</v>
      </c>
      <c r="G1023" s="3" t="s">
        <v>48</v>
      </c>
      <c r="H1023" s="3" t="s">
        <v>46</v>
      </c>
      <c r="I1023" s="5">
        <v>1290900</v>
      </c>
      <c r="J1023" s="3">
        <v>154908</v>
      </c>
      <c r="K1023" s="3">
        <v>1135992</v>
      </c>
      <c r="L1023" s="3">
        <v>743744.24799999991</v>
      </c>
      <c r="M1023" s="3">
        <v>392247.75200000004</v>
      </c>
      <c r="N1023" s="3">
        <v>18109.962</v>
      </c>
      <c r="O1023" s="3">
        <f t="shared" si="16"/>
        <v>1.5941980225212853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18109.962</v>
      </c>
      <c r="V1023" s="3">
        <v>0</v>
      </c>
      <c r="W1023" s="3">
        <v>0</v>
      </c>
      <c r="X1023" s="3">
        <v>374137.79000000004</v>
      </c>
      <c r="Y1023" s="3">
        <v>26.388895938726922</v>
      </c>
      <c r="Z1023" s="3">
        <v>0</v>
      </c>
      <c r="AA1023" s="3">
        <v>26.388895938726922</v>
      </c>
      <c r="AB1023" s="3">
        <v>0</v>
      </c>
      <c r="AC1023" s="3">
        <v>0</v>
      </c>
      <c r="AD1023" s="3">
        <v>0</v>
      </c>
      <c r="AE1023" s="3">
        <v>374164.17889593873</v>
      </c>
      <c r="AF1023" s="3">
        <v>0</v>
      </c>
      <c r="AG1023" s="3">
        <v>374164.17889593873</v>
      </c>
      <c r="AH1023" s="3">
        <v>374164.17889593873</v>
      </c>
      <c r="AI1023" s="3">
        <v>0</v>
      </c>
      <c r="AJ1023" s="3">
        <v>0</v>
      </c>
    </row>
    <row r="1024" spans="1:36" x14ac:dyDescent="0.2">
      <c r="A1024" s="3" t="s">
        <v>75</v>
      </c>
      <c r="B1024" s="3" t="s">
        <v>83</v>
      </c>
      <c r="C1024" s="3" t="s">
        <v>93</v>
      </c>
      <c r="D1024" s="3">
        <v>1</v>
      </c>
      <c r="E1024" s="3">
        <v>2023</v>
      </c>
      <c r="F1024" s="3">
        <v>1</v>
      </c>
      <c r="G1024" s="3" t="s">
        <v>48</v>
      </c>
      <c r="H1024" s="3" t="s">
        <v>46</v>
      </c>
      <c r="I1024" s="5">
        <v>10276730</v>
      </c>
      <c r="J1024" s="3">
        <v>1464732</v>
      </c>
      <c r="K1024" s="3">
        <v>8811998</v>
      </c>
      <c r="L1024" s="3">
        <v>7012966.9919999987</v>
      </c>
      <c r="M1024" s="3">
        <v>1799031.0079999999</v>
      </c>
      <c r="N1024" s="3">
        <v>105484.68699999999</v>
      </c>
      <c r="O1024" s="3">
        <f t="shared" ref="O1024:O1087" si="17">N1024/K1024*100</f>
        <v>1.1970575458596335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105484.68699999999</v>
      </c>
      <c r="V1024" s="3">
        <v>0</v>
      </c>
      <c r="W1024" s="3">
        <v>0</v>
      </c>
      <c r="X1024" s="3">
        <v>1693546.321</v>
      </c>
      <c r="Y1024" s="3">
        <v>167.14165082991471</v>
      </c>
      <c r="Z1024" s="3">
        <v>0</v>
      </c>
      <c r="AA1024" s="3">
        <v>167.14165082991471</v>
      </c>
      <c r="AB1024" s="3">
        <v>0</v>
      </c>
      <c r="AC1024" s="3">
        <v>0</v>
      </c>
      <c r="AD1024" s="3">
        <v>0</v>
      </c>
      <c r="AE1024" s="3">
        <v>1693713.4626508297</v>
      </c>
      <c r="AF1024" s="3">
        <v>0</v>
      </c>
      <c r="AG1024" s="3">
        <v>1693713.4626508297</v>
      </c>
      <c r="AH1024" s="3">
        <v>1693713.4626508297</v>
      </c>
      <c r="AI1024" s="3">
        <v>0</v>
      </c>
      <c r="AJ1024" s="3">
        <v>0</v>
      </c>
    </row>
    <row r="1025" spans="1:36" x14ac:dyDescent="0.2">
      <c r="A1025" s="3" t="s">
        <v>75</v>
      </c>
      <c r="B1025" s="3" t="s">
        <v>83</v>
      </c>
      <c r="C1025" s="3" t="s">
        <v>94</v>
      </c>
      <c r="D1025" s="3">
        <v>1</v>
      </c>
      <c r="E1025" s="3">
        <v>2023</v>
      </c>
      <c r="F1025" s="3">
        <v>1</v>
      </c>
      <c r="G1025" s="3" t="s">
        <v>48</v>
      </c>
      <c r="H1025" s="3" t="s">
        <v>46</v>
      </c>
      <c r="I1025" s="5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 t="e">
        <f t="shared" si="17"/>
        <v>#DIV/0!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</row>
    <row r="1026" spans="1:36" x14ac:dyDescent="0.2">
      <c r="A1026" s="3" t="s">
        <v>75</v>
      </c>
      <c r="B1026" s="3" t="s">
        <v>83</v>
      </c>
      <c r="C1026" s="3" t="s">
        <v>94</v>
      </c>
      <c r="D1026" s="3">
        <v>2</v>
      </c>
      <c r="E1026" s="3">
        <v>2023</v>
      </c>
      <c r="F1026" s="3">
        <v>1</v>
      </c>
      <c r="G1026" s="3" t="s">
        <v>43</v>
      </c>
      <c r="H1026" s="3" t="s">
        <v>40</v>
      </c>
      <c r="I1026" s="5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 t="e">
        <f t="shared" si="17"/>
        <v>#DIV/0!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0</v>
      </c>
      <c r="AJ1026" s="3">
        <v>0</v>
      </c>
    </row>
    <row r="1027" spans="1:36" x14ac:dyDescent="0.2">
      <c r="A1027" s="3" t="s">
        <v>75</v>
      </c>
      <c r="B1027" s="3" t="s">
        <v>83</v>
      </c>
      <c r="C1027" s="3" t="s">
        <v>94</v>
      </c>
      <c r="D1027" s="3">
        <v>2</v>
      </c>
      <c r="E1027" s="3">
        <v>2023</v>
      </c>
      <c r="F1027" s="3">
        <v>1</v>
      </c>
      <c r="G1027" s="3" t="s">
        <v>48</v>
      </c>
      <c r="H1027" s="3" t="s">
        <v>46</v>
      </c>
      <c r="I1027" s="5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 t="e">
        <f t="shared" si="17"/>
        <v>#DIV/0!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  <c r="AJ1027" s="3">
        <v>0</v>
      </c>
    </row>
    <row r="1028" spans="1:36" x14ac:dyDescent="0.2">
      <c r="A1028" s="3" t="s">
        <v>75</v>
      </c>
      <c r="B1028" s="3" t="s">
        <v>83</v>
      </c>
      <c r="C1028" s="3" t="s">
        <v>94</v>
      </c>
      <c r="D1028" s="3">
        <v>3</v>
      </c>
      <c r="E1028" s="3">
        <v>2023</v>
      </c>
      <c r="F1028" s="3">
        <v>1</v>
      </c>
      <c r="G1028" s="3" t="s">
        <v>48</v>
      </c>
      <c r="H1028" s="3" t="s">
        <v>46</v>
      </c>
      <c r="I1028" s="5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 t="e">
        <f t="shared" si="17"/>
        <v>#DIV/0!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</row>
    <row r="1029" spans="1:36" x14ac:dyDescent="0.2">
      <c r="A1029" s="3" t="s">
        <v>75</v>
      </c>
      <c r="B1029" s="3" t="s">
        <v>83</v>
      </c>
      <c r="C1029" s="3" t="s">
        <v>94</v>
      </c>
      <c r="D1029" s="3">
        <v>3</v>
      </c>
      <c r="E1029" s="3">
        <v>2023</v>
      </c>
      <c r="F1029" s="3">
        <v>1</v>
      </c>
      <c r="G1029" s="3" t="s">
        <v>43</v>
      </c>
      <c r="H1029" s="3" t="s">
        <v>40</v>
      </c>
      <c r="I1029" s="5">
        <v>293915</v>
      </c>
      <c r="J1029" s="3">
        <v>0</v>
      </c>
      <c r="K1029" s="3">
        <v>293915</v>
      </c>
      <c r="L1029" s="3">
        <v>278690</v>
      </c>
      <c r="M1029" s="3">
        <v>15225</v>
      </c>
      <c r="N1029" s="3">
        <v>0</v>
      </c>
      <c r="O1029" s="3">
        <f t="shared" si="17"/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15225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3">
        <v>0</v>
      </c>
      <c r="AE1029" s="3">
        <v>15225</v>
      </c>
      <c r="AF1029" s="3">
        <v>0</v>
      </c>
      <c r="AG1029" s="3">
        <v>15225</v>
      </c>
      <c r="AH1029" s="3">
        <v>15225</v>
      </c>
      <c r="AI1029" s="3">
        <v>0</v>
      </c>
      <c r="AJ1029" s="3">
        <v>0</v>
      </c>
    </row>
    <row r="1030" spans="1:36" x14ac:dyDescent="0.2">
      <c r="A1030" s="3" t="s">
        <v>75</v>
      </c>
      <c r="B1030" s="3" t="s">
        <v>83</v>
      </c>
      <c r="C1030" s="3" t="s">
        <v>94</v>
      </c>
      <c r="D1030" s="3">
        <v>1</v>
      </c>
      <c r="E1030" s="3">
        <v>2023</v>
      </c>
      <c r="F1030" s="3">
        <v>1</v>
      </c>
      <c r="G1030" s="3" t="s">
        <v>42</v>
      </c>
      <c r="H1030" s="3" t="s">
        <v>40</v>
      </c>
      <c r="I1030" s="5">
        <v>356000</v>
      </c>
      <c r="J1030" s="3">
        <v>53400</v>
      </c>
      <c r="K1030" s="3">
        <v>302600</v>
      </c>
      <c r="L1030" s="3">
        <v>213600</v>
      </c>
      <c r="M1030" s="3">
        <v>89000</v>
      </c>
      <c r="N1030" s="3">
        <v>321124.57999999996</v>
      </c>
      <c r="O1030" s="3">
        <f t="shared" si="17"/>
        <v>106.1218043621943</v>
      </c>
      <c r="P1030" s="3">
        <v>135366.22</v>
      </c>
      <c r="Q1030" s="3">
        <v>0</v>
      </c>
      <c r="R1030" s="3">
        <v>0</v>
      </c>
      <c r="S1030" s="3">
        <v>94227.520000000004</v>
      </c>
      <c r="T1030" s="3">
        <v>0</v>
      </c>
      <c r="U1030" s="3">
        <v>8900</v>
      </c>
      <c r="V1030" s="3">
        <v>82630.840000000011</v>
      </c>
      <c r="W1030" s="3">
        <v>0</v>
      </c>
      <c r="X1030" s="3">
        <v>-232124.58</v>
      </c>
      <c r="Y1030" s="3">
        <v>0</v>
      </c>
      <c r="Z1030" s="3">
        <v>7893.28</v>
      </c>
      <c r="AA1030" s="3">
        <v>-7893.28</v>
      </c>
      <c r="AB1030" s="3">
        <v>0</v>
      </c>
      <c r="AC1030" s="3">
        <v>0</v>
      </c>
      <c r="AD1030" s="3">
        <v>0</v>
      </c>
      <c r="AE1030" s="3">
        <v>-240017.86</v>
      </c>
      <c r="AF1030" s="3">
        <v>0</v>
      </c>
      <c r="AG1030" s="3">
        <v>-240017.86</v>
      </c>
      <c r="AH1030" s="3">
        <v>-240017.86</v>
      </c>
      <c r="AI1030" s="3">
        <v>6000000</v>
      </c>
      <c r="AJ1030" s="3">
        <v>0</v>
      </c>
    </row>
    <row r="1031" spans="1:36" x14ac:dyDescent="0.2">
      <c r="A1031" s="3" t="s">
        <v>75</v>
      </c>
      <c r="B1031" s="3" t="s">
        <v>83</v>
      </c>
      <c r="C1031" s="3" t="s">
        <v>94</v>
      </c>
      <c r="D1031" s="3">
        <v>3</v>
      </c>
      <c r="E1031" s="3">
        <v>2023</v>
      </c>
      <c r="F1031" s="3">
        <v>1</v>
      </c>
      <c r="G1031" s="3" t="s">
        <v>42</v>
      </c>
      <c r="H1031" s="3" t="s">
        <v>40</v>
      </c>
      <c r="I1031" s="5">
        <v>671738</v>
      </c>
      <c r="J1031" s="3">
        <v>9945</v>
      </c>
      <c r="K1031" s="3">
        <v>661793</v>
      </c>
      <c r="L1031" s="3">
        <v>403042.8</v>
      </c>
      <c r="M1031" s="3">
        <v>258750.2</v>
      </c>
      <c r="N1031" s="3">
        <v>302011.15399999998</v>
      </c>
      <c r="O1031" s="3">
        <f t="shared" si="17"/>
        <v>45.635289886716841</v>
      </c>
      <c r="P1031" s="3">
        <v>115061.287</v>
      </c>
      <c r="Q1031" s="3">
        <v>0</v>
      </c>
      <c r="R1031" s="3">
        <v>0</v>
      </c>
      <c r="S1031" s="3">
        <v>80093.392000000007</v>
      </c>
      <c r="T1031" s="3">
        <v>0</v>
      </c>
      <c r="U1031" s="3">
        <v>43104.520000000004</v>
      </c>
      <c r="V1031" s="3">
        <v>63751.955000000002</v>
      </c>
      <c r="W1031" s="3">
        <v>0</v>
      </c>
      <c r="X1031" s="3">
        <v>-43260.953999999991</v>
      </c>
      <c r="Y1031" s="3">
        <v>24.377999999999997</v>
      </c>
      <c r="Z1031" s="3">
        <v>53356.250999999989</v>
      </c>
      <c r="AA1031" s="3">
        <v>-53331.872999999992</v>
      </c>
      <c r="AB1031" s="3">
        <v>0</v>
      </c>
      <c r="AC1031" s="3">
        <v>0</v>
      </c>
      <c r="AD1031" s="3">
        <v>0</v>
      </c>
      <c r="AE1031" s="3">
        <v>-96592.82699999999</v>
      </c>
      <c r="AF1031" s="3">
        <v>0</v>
      </c>
      <c r="AG1031" s="3">
        <v>-96592.82699999999</v>
      </c>
      <c r="AH1031" s="3">
        <v>-96592.82699999999</v>
      </c>
      <c r="AI1031" s="3">
        <v>5100000</v>
      </c>
      <c r="AJ1031" s="3">
        <v>0</v>
      </c>
    </row>
    <row r="1032" spans="1:36" x14ac:dyDescent="0.2">
      <c r="A1032" s="3" t="s">
        <v>75</v>
      </c>
      <c r="B1032" s="3" t="s">
        <v>83</v>
      </c>
      <c r="C1032" s="3" t="s">
        <v>94</v>
      </c>
      <c r="D1032" s="3">
        <v>2</v>
      </c>
      <c r="E1032" s="3">
        <v>2023</v>
      </c>
      <c r="F1032" s="3">
        <v>1</v>
      </c>
      <c r="G1032" s="3" t="s">
        <v>42</v>
      </c>
      <c r="H1032" s="3" t="s">
        <v>40</v>
      </c>
      <c r="I1032" s="5">
        <v>1287079.9999999998</v>
      </c>
      <c r="J1032" s="3">
        <v>23299</v>
      </c>
      <c r="K1032" s="3">
        <v>1263781</v>
      </c>
      <c r="L1032" s="3">
        <v>772248</v>
      </c>
      <c r="M1032" s="3">
        <v>491532.99999999994</v>
      </c>
      <c r="N1032" s="3">
        <v>387557.19899999996</v>
      </c>
      <c r="O1032" s="3">
        <f t="shared" si="17"/>
        <v>30.666484066464044</v>
      </c>
      <c r="P1032" s="3">
        <v>155671.15299999999</v>
      </c>
      <c r="Q1032" s="3">
        <v>0</v>
      </c>
      <c r="R1032" s="3">
        <v>0</v>
      </c>
      <c r="S1032" s="3">
        <v>108361.64799999999</v>
      </c>
      <c r="T1032" s="3">
        <v>0</v>
      </c>
      <c r="U1032" s="3">
        <v>49153.3</v>
      </c>
      <c r="V1032" s="3">
        <v>74371.097999999998</v>
      </c>
      <c r="W1032" s="3">
        <v>0</v>
      </c>
      <c r="X1032" s="3">
        <v>103975.80099999999</v>
      </c>
      <c r="Y1032" s="3">
        <v>0</v>
      </c>
      <c r="Z1032" s="3">
        <v>31619.985999999994</v>
      </c>
      <c r="AA1032" s="3">
        <v>-31619.985999999994</v>
      </c>
      <c r="AB1032" s="3">
        <v>0</v>
      </c>
      <c r="AC1032" s="3">
        <v>0</v>
      </c>
      <c r="AD1032" s="3">
        <v>0</v>
      </c>
      <c r="AE1032" s="3">
        <v>72355.814999999988</v>
      </c>
      <c r="AF1032" s="3">
        <v>0</v>
      </c>
      <c r="AG1032" s="3">
        <v>72355.814999999988</v>
      </c>
      <c r="AH1032" s="3">
        <v>72355.814999999988</v>
      </c>
      <c r="AI1032" s="3">
        <v>6900000</v>
      </c>
      <c r="AJ1032" s="3">
        <v>0</v>
      </c>
    </row>
    <row r="1033" spans="1:36" x14ac:dyDescent="0.2">
      <c r="A1033" s="3" t="s">
        <v>75</v>
      </c>
      <c r="B1033" s="3" t="s">
        <v>83</v>
      </c>
      <c r="C1033" s="3" t="s">
        <v>94</v>
      </c>
      <c r="D1033" s="3">
        <v>1</v>
      </c>
      <c r="E1033" s="3">
        <v>2023</v>
      </c>
      <c r="F1033" s="3">
        <v>1</v>
      </c>
      <c r="G1033" s="3" t="s">
        <v>43</v>
      </c>
      <c r="H1033" s="3" t="s">
        <v>40</v>
      </c>
      <c r="I1033" s="5">
        <v>19804016.68</v>
      </c>
      <c r="J1033" s="3">
        <v>0</v>
      </c>
      <c r="K1033" s="3">
        <v>19804016.68</v>
      </c>
      <c r="L1033" s="3">
        <v>18956201.431999996</v>
      </c>
      <c r="M1033" s="3">
        <v>847815.24800000002</v>
      </c>
      <c r="N1033" s="3">
        <v>0</v>
      </c>
      <c r="O1033" s="3">
        <f t="shared" si="17"/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847815.24800000002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0</v>
      </c>
      <c r="AE1033" s="3">
        <v>847815.24800000002</v>
      </c>
      <c r="AF1033" s="3">
        <v>0</v>
      </c>
      <c r="AG1033" s="3">
        <v>847815.24800000002</v>
      </c>
      <c r="AH1033" s="3">
        <v>847815.24800000002</v>
      </c>
      <c r="AI1033" s="3">
        <v>0</v>
      </c>
      <c r="AJ1033" s="3">
        <v>0</v>
      </c>
    </row>
    <row r="1034" spans="1:36" x14ac:dyDescent="0.2">
      <c r="A1034" s="3" t="s">
        <v>75</v>
      </c>
      <c r="B1034" s="3" t="s">
        <v>83</v>
      </c>
      <c r="C1034" s="3" t="s">
        <v>94</v>
      </c>
      <c r="D1034" s="3">
        <v>3</v>
      </c>
      <c r="E1034" s="3">
        <v>2023</v>
      </c>
      <c r="F1034" s="3">
        <v>1</v>
      </c>
      <c r="G1034" s="3" t="s">
        <v>48</v>
      </c>
      <c r="H1034" s="3" t="s">
        <v>40</v>
      </c>
      <c r="I1034" s="5">
        <v>94576070.670000002</v>
      </c>
      <c r="J1034" s="3">
        <v>1044764.97</v>
      </c>
      <c r="K1034" s="3">
        <v>93531305.700000003</v>
      </c>
      <c r="L1034" s="3">
        <v>91918369.670000002</v>
      </c>
      <c r="M1034" s="3">
        <v>1612936.03</v>
      </c>
      <c r="N1034" s="3">
        <v>1176999.1369999999</v>
      </c>
      <c r="O1034" s="3">
        <f t="shared" si="17"/>
        <v>1.2584012681007615</v>
      </c>
      <c r="P1034" s="3">
        <v>44294.490999999995</v>
      </c>
      <c r="Q1034" s="3">
        <v>0</v>
      </c>
      <c r="R1034" s="3">
        <v>688853.75899999985</v>
      </c>
      <c r="S1034" s="3">
        <v>103730.804</v>
      </c>
      <c r="T1034" s="3">
        <v>0</v>
      </c>
      <c r="U1034" s="3">
        <v>161293.60299999997</v>
      </c>
      <c r="V1034" s="3">
        <v>178826.48</v>
      </c>
      <c r="W1034" s="3">
        <v>0</v>
      </c>
      <c r="X1034" s="3">
        <v>435936.89299999998</v>
      </c>
      <c r="Y1034" s="3">
        <v>1707.1595</v>
      </c>
      <c r="Z1034" s="3">
        <v>0</v>
      </c>
      <c r="AA1034" s="3">
        <v>1707.1595</v>
      </c>
      <c r="AB1034" s="3">
        <v>0</v>
      </c>
      <c r="AC1034" s="3">
        <v>0</v>
      </c>
      <c r="AD1034" s="3">
        <v>0</v>
      </c>
      <c r="AE1034" s="3">
        <v>437644.05250000005</v>
      </c>
      <c r="AF1034" s="3">
        <v>0</v>
      </c>
      <c r="AG1034" s="3">
        <v>437644.05250000005</v>
      </c>
      <c r="AH1034" s="3">
        <v>437644.05250000005</v>
      </c>
      <c r="AI1034" s="3">
        <v>2.8879999999999999</v>
      </c>
      <c r="AJ1034" s="3">
        <v>722847.36199999996</v>
      </c>
    </row>
    <row r="1035" spans="1:36" x14ac:dyDescent="0.2">
      <c r="A1035" s="3" t="s">
        <v>75</v>
      </c>
      <c r="B1035" s="3" t="s">
        <v>83</v>
      </c>
      <c r="C1035" s="3" t="s">
        <v>94</v>
      </c>
      <c r="D1035" s="3">
        <v>2</v>
      </c>
      <c r="E1035" s="3">
        <v>2023</v>
      </c>
      <c r="F1035" s="3">
        <v>1</v>
      </c>
      <c r="G1035" s="3" t="s">
        <v>48</v>
      </c>
      <c r="H1035" s="3" t="s">
        <v>40</v>
      </c>
      <c r="I1035" s="5">
        <v>108278546.95</v>
      </c>
      <c r="J1035" s="3">
        <v>1305173.5</v>
      </c>
      <c r="K1035" s="3">
        <v>106973373.45</v>
      </c>
      <c r="L1035" s="3">
        <v>105068276.95</v>
      </c>
      <c r="M1035" s="3">
        <v>1905096.5</v>
      </c>
      <c r="N1035" s="3">
        <v>923049.29</v>
      </c>
      <c r="O1035" s="3">
        <f t="shared" si="17"/>
        <v>0.8628776117184328</v>
      </c>
      <c r="P1035" s="3">
        <v>23312.890000000003</v>
      </c>
      <c r="Q1035" s="3">
        <v>0</v>
      </c>
      <c r="R1035" s="3">
        <v>410174.45</v>
      </c>
      <c r="S1035" s="3">
        <v>127017.09999999999</v>
      </c>
      <c r="T1035" s="3">
        <v>0</v>
      </c>
      <c r="U1035" s="3">
        <v>190509.65</v>
      </c>
      <c r="V1035" s="3">
        <v>172035.20000000001</v>
      </c>
      <c r="W1035" s="3">
        <v>0</v>
      </c>
      <c r="X1035" s="3">
        <v>982047.21000000008</v>
      </c>
      <c r="Y1035" s="3">
        <v>3250.8300000000004</v>
      </c>
      <c r="Z1035" s="3">
        <v>0</v>
      </c>
      <c r="AA1035" s="3">
        <v>3250.8300000000004</v>
      </c>
      <c r="AB1035" s="3">
        <v>0</v>
      </c>
      <c r="AC1035" s="3">
        <v>0</v>
      </c>
      <c r="AD1035" s="3">
        <v>0</v>
      </c>
      <c r="AE1035" s="3">
        <v>985298.04</v>
      </c>
      <c r="AF1035" s="3">
        <v>0</v>
      </c>
      <c r="AG1035" s="3">
        <v>985298.04</v>
      </c>
      <c r="AH1035" s="3">
        <v>985298.04</v>
      </c>
      <c r="AI1035" s="3">
        <v>2.2000000000000002</v>
      </c>
      <c r="AJ1035" s="3">
        <v>440516.39</v>
      </c>
    </row>
    <row r="1036" spans="1:36" x14ac:dyDescent="0.2">
      <c r="A1036" s="3" t="s">
        <v>75</v>
      </c>
      <c r="B1036" s="3" t="s">
        <v>83</v>
      </c>
      <c r="C1036" s="3" t="s">
        <v>94</v>
      </c>
      <c r="D1036" s="3">
        <v>1</v>
      </c>
      <c r="E1036" s="3">
        <v>2023</v>
      </c>
      <c r="F1036" s="3">
        <v>1</v>
      </c>
      <c r="G1036" s="3" t="s">
        <v>48</v>
      </c>
      <c r="H1036" s="3" t="s">
        <v>40</v>
      </c>
      <c r="I1036" s="5">
        <v>274597439.148</v>
      </c>
      <c r="J1036" s="3">
        <v>3071479.03</v>
      </c>
      <c r="K1036" s="3">
        <v>271525960.11799997</v>
      </c>
      <c r="L1036" s="3">
        <v>266666055.148</v>
      </c>
      <c r="M1036" s="3">
        <v>4859904.97</v>
      </c>
      <c r="N1036" s="3">
        <v>2781013.2319999998</v>
      </c>
      <c r="O1036" s="3">
        <f t="shared" si="17"/>
        <v>1.0242163330502265</v>
      </c>
      <c r="P1036" s="3">
        <v>67607.380999999994</v>
      </c>
      <c r="Q1036" s="3">
        <v>0</v>
      </c>
      <c r="R1036" s="3">
        <v>1352354.3029999998</v>
      </c>
      <c r="S1036" s="3">
        <v>321808.33099999995</v>
      </c>
      <c r="T1036" s="3">
        <v>0</v>
      </c>
      <c r="U1036" s="3">
        <v>485990.49699999997</v>
      </c>
      <c r="V1036" s="3">
        <v>553252.72</v>
      </c>
      <c r="W1036" s="3">
        <v>0</v>
      </c>
      <c r="X1036" s="3">
        <v>2078891.7379999999</v>
      </c>
      <c r="Y1036" s="3">
        <v>4032.7689999999993</v>
      </c>
      <c r="Z1036" s="3">
        <v>0</v>
      </c>
      <c r="AA1036" s="3">
        <v>4032.7689999999993</v>
      </c>
      <c r="AB1036" s="3">
        <v>0</v>
      </c>
      <c r="AC1036" s="3">
        <v>0</v>
      </c>
      <c r="AD1036" s="3">
        <v>0</v>
      </c>
      <c r="AE1036" s="3">
        <v>2082924.5069999998</v>
      </c>
      <c r="AF1036" s="3">
        <v>0</v>
      </c>
      <c r="AG1036" s="3">
        <v>2082924.5069999998</v>
      </c>
      <c r="AH1036" s="3">
        <v>2082924.5069999998</v>
      </c>
      <c r="AI1036" s="3">
        <v>5.8</v>
      </c>
      <c r="AJ1036" s="3">
        <v>1161361.405</v>
      </c>
    </row>
    <row r="1037" spans="1:36" x14ac:dyDescent="0.2">
      <c r="A1037" s="3" t="s">
        <v>75</v>
      </c>
      <c r="B1037" s="3" t="s">
        <v>83</v>
      </c>
      <c r="C1037" s="3" t="s">
        <v>94</v>
      </c>
      <c r="D1037" s="3">
        <v>2</v>
      </c>
      <c r="E1037" s="3">
        <v>2023</v>
      </c>
      <c r="F1037" s="3">
        <v>1</v>
      </c>
      <c r="G1037" s="3" t="s">
        <v>39</v>
      </c>
      <c r="H1037" s="3" t="s">
        <v>40</v>
      </c>
      <c r="I1037" s="5">
        <v>8061389736.2199993</v>
      </c>
      <c r="J1037" s="3">
        <v>0</v>
      </c>
      <c r="K1037" s="3">
        <v>8061389736.2199993</v>
      </c>
      <c r="L1037" s="3">
        <v>8054673619.1499996</v>
      </c>
      <c r="M1037" s="3">
        <v>6716117.0700000003</v>
      </c>
      <c r="N1037" s="3">
        <v>1963926.57</v>
      </c>
      <c r="O1037" s="3">
        <f t="shared" si="17"/>
        <v>2.4362134002478941E-2</v>
      </c>
      <c r="P1037" s="3">
        <v>93067.260000000009</v>
      </c>
      <c r="Q1037" s="3">
        <v>98000</v>
      </c>
      <c r="R1037" s="3">
        <v>698373.92999999993</v>
      </c>
      <c r="S1037" s="3">
        <v>113376.99</v>
      </c>
      <c r="T1037" s="3">
        <v>85517.790000000008</v>
      </c>
      <c r="U1037" s="3">
        <v>653661.49</v>
      </c>
      <c r="V1037" s="3">
        <v>221929.11</v>
      </c>
      <c r="W1037" s="3">
        <v>0</v>
      </c>
      <c r="X1037" s="3">
        <v>4752190.5</v>
      </c>
      <c r="Y1037" s="3">
        <v>8070.9400000000005</v>
      </c>
      <c r="Z1037" s="3">
        <v>330132.75</v>
      </c>
      <c r="AA1037" s="3">
        <v>-322061.81</v>
      </c>
      <c r="AB1037" s="3">
        <v>2321.31</v>
      </c>
      <c r="AC1037" s="3">
        <v>136950</v>
      </c>
      <c r="AD1037" s="3">
        <v>-134628.69</v>
      </c>
      <c r="AE1037" s="3">
        <v>4295500</v>
      </c>
      <c r="AF1037" s="3">
        <v>0</v>
      </c>
      <c r="AG1037" s="3">
        <v>4295500</v>
      </c>
      <c r="AH1037" s="3">
        <v>4295500</v>
      </c>
      <c r="AI1037" s="3">
        <v>8061389736.2199993</v>
      </c>
      <c r="AJ1037" s="3">
        <v>4295500</v>
      </c>
    </row>
    <row r="1038" spans="1:36" x14ac:dyDescent="0.2">
      <c r="A1038" s="3" t="s">
        <v>75</v>
      </c>
      <c r="B1038" s="3" t="s">
        <v>83</v>
      </c>
      <c r="C1038" s="3" t="s">
        <v>94</v>
      </c>
      <c r="D1038" s="3">
        <v>3</v>
      </c>
      <c r="E1038" s="3">
        <v>2023</v>
      </c>
      <c r="F1038" s="3">
        <v>1</v>
      </c>
      <c r="G1038" s="3" t="s">
        <v>39</v>
      </c>
      <c r="H1038" s="3" t="s">
        <v>40</v>
      </c>
      <c r="I1038" s="5">
        <v>9692173371.4020004</v>
      </c>
      <c r="J1038" s="3">
        <v>0</v>
      </c>
      <c r="K1038" s="3">
        <v>9692173371.4020004</v>
      </c>
      <c r="L1038" s="3">
        <v>9677410050.1230011</v>
      </c>
      <c r="M1038" s="3">
        <v>14763321.279000003</v>
      </c>
      <c r="N1038" s="3">
        <v>4276361.2770000007</v>
      </c>
      <c r="O1038" s="3">
        <f t="shared" si="17"/>
        <v>4.4121799240797246E-2</v>
      </c>
      <c r="P1038" s="3">
        <v>251281.60200000001</v>
      </c>
      <c r="Q1038" s="3">
        <v>0</v>
      </c>
      <c r="R1038" s="3">
        <v>1451133.4950000001</v>
      </c>
      <c r="S1038" s="3">
        <v>306117.87300000002</v>
      </c>
      <c r="T1038" s="3">
        <v>296873.91000000003</v>
      </c>
      <c r="U1038" s="3">
        <v>1476332.1360000002</v>
      </c>
      <c r="V1038" s="3">
        <v>494622.261</v>
      </c>
      <c r="W1038" s="3">
        <v>0</v>
      </c>
      <c r="X1038" s="3">
        <v>10486960.002</v>
      </c>
      <c r="Y1038" s="3">
        <v>16055.523000000001</v>
      </c>
      <c r="Z1038" s="3">
        <v>656621.93700000003</v>
      </c>
      <c r="AA1038" s="3">
        <v>-640566.41400000011</v>
      </c>
      <c r="AB1038" s="3">
        <v>57105</v>
      </c>
      <c r="AC1038" s="3">
        <v>205470</v>
      </c>
      <c r="AD1038" s="3">
        <v>-148365.00000000003</v>
      </c>
      <c r="AE1038" s="3">
        <v>9698028.5879999995</v>
      </c>
      <c r="AF1038" s="3">
        <v>0</v>
      </c>
      <c r="AG1038" s="3">
        <v>9698028.5879999995</v>
      </c>
      <c r="AH1038" s="3">
        <v>9698028.5879999995</v>
      </c>
      <c r="AI1038" s="3">
        <v>9692173371.4020004</v>
      </c>
      <c r="AJ1038" s="3">
        <v>9698028.5879999995</v>
      </c>
    </row>
    <row r="1039" spans="1:36" x14ac:dyDescent="0.2">
      <c r="A1039" s="3" t="s">
        <v>75</v>
      </c>
      <c r="B1039" s="3" t="s">
        <v>83</v>
      </c>
      <c r="C1039" s="3" t="s">
        <v>94</v>
      </c>
      <c r="D1039" s="3">
        <v>1</v>
      </c>
      <c r="E1039" s="3">
        <v>2023</v>
      </c>
      <c r="F1039" s="3">
        <v>1</v>
      </c>
      <c r="G1039" s="3" t="s">
        <v>39</v>
      </c>
      <c r="H1039" s="3" t="s">
        <v>40</v>
      </c>
      <c r="I1039" s="5">
        <v>14233092803.255999</v>
      </c>
      <c r="J1039" s="3">
        <v>0</v>
      </c>
      <c r="K1039" s="3">
        <v>14233092803.255999</v>
      </c>
      <c r="L1039" s="3">
        <v>14225270071.271999</v>
      </c>
      <c r="M1039" s="3">
        <v>7822731.9840000002</v>
      </c>
      <c r="N1039" s="3">
        <v>3452607.6239999994</v>
      </c>
      <c r="O1039" s="3">
        <f t="shared" si="17"/>
        <v>2.4257606352501068E-2</v>
      </c>
      <c r="P1039" s="3">
        <v>223361.4</v>
      </c>
      <c r="Q1039" s="3">
        <v>0</v>
      </c>
      <c r="R1039" s="3">
        <v>1481803.68</v>
      </c>
      <c r="S1039" s="3">
        <v>272104.77599999995</v>
      </c>
      <c r="T1039" s="3">
        <v>170765.32800000001</v>
      </c>
      <c r="U1039" s="3">
        <v>782273.20799999998</v>
      </c>
      <c r="V1039" s="3">
        <v>522299.23199999996</v>
      </c>
      <c r="W1039" s="3">
        <v>0</v>
      </c>
      <c r="X1039" s="3">
        <v>4370124.3599999994</v>
      </c>
      <c r="Y1039" s="3">
        <v>24528.456000000002</v>
      </c>
      <c r="Z1039" s="3">
        <v>417760.05600000004</v>
      </c>
      <c r="AA1039" s="3">
        <v>-393231.60000000003</v>
      </c>
      <c r="AB1039" s="3">
        <v>20242.055999999997</v>
      </c>
      <c r="AC1039" s="3">
        <v>36960</v>
      </c>
      <c r="AD1039" s="3">
        <v>-16717.944</v>
      </c>
      <c r="AE1039" s="3">
        <v>3960174.8159999996</v>
      </c>
      <c r="AF1039" s="3">
        <v>0</v>
      </c>
      <c r="AG1039" s="3">
        <v>3960174.8159999996</v>
      </c>
      <c r="AH1039" s="3">
        <v>3960174.8159999996</v>
      </c>
      <c r="AI1039" s="3">
        <v>41833092803.255997</v>
      </c>
      <c r="AJ1039" s="3">
        <v>3960174.8159999996</v>
      </c>
    </row>
    <row r="1040" spans="1:36" x14ac:dyDescent="0.2">
      <c r="A1040" s="3" t="s">
        <v>75</v>
      </c>
      <c r="B1040" s="3" t="s">
        <v>83</v>
      </c>
      <c r="C1040" s="3" t="s">
        <v>95</v>
      </c>
      <c r="D1040" s="3">
        <v>1</v>
      </c>
      <c r="E1040" s="3">
        <v>2023</v>
      </c>
      <c r="F1040" s="3">
        <v>1</v>
      </c>
      <c r="G1040" s="3" t="s">
        <v>42</v>
      </c>
      <c r="H1040" s="3" t="s">
        <v>40</v>
      </c>
      <c r="I1040" s="5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 t="e">
        <f t="shared" si="17"/>
        <v>#DIV/0!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3">
        <v>0</v>
      </c>
      <c r="AE1040" s="3">
        <v>0</v>
      </c>
      <c r="AF1040" s="3">
        <v>0</v>
      </c>
      <c r="AG1040" s="3">
        <v>0</v>
      </c>
      <c r="AH1040" s="3">
        <v>0</v>
      </c>
      <c r="AI1040" s="3">
        <v>0</v>
      </c>
      <c r="AJ1040" s="3">
        <v>0</v>
      </c>
    </row>
    <row r="1041" spans="1:36" x14ac:dyDescent="0.2">
      <c r="A1041" s="3" t="s">
        <v>75</v>
      </c>
      <c r="B1041" s="3" t="s">
        <v>83</v>
      </c>
      <c r="C1041" s="3" t="s">
        <v>95</v>
      </c>
      <c r="D1041" s="3">
        <v>1</v>
      </c>
      <c r="E1041" s="3">
        <v>2023</v>
      </c>
      <c r="F1041" s="3">
        <v>1</v>
      </c>
      <c r="G1041" s="3" t="s">
        <v>39</v>
      </c>
      <c r="H1041" s="3" t="s">
        <v>40</v>
      </c>
      <c r="I1041" s="5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 t="e">
        <f t="shared" si="17"/>
        <v>#DIV/0!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3">
        <v>0</v>
      </c>
      <c r="AE1041" s="3">
        <v>0</v>
      </c>
      <c r="AF1041" s="3">
        <v>0</v>
      </c>
      <c r="AG1041" s="3">
        <v>0</v>
      </c>
      <c r="AH1041" s="3">
        <v>0</v>
      </c>
      <c r="AI1041" s="3">
        <v>0</v>
      </c>
      <c r="AJ1041" s="3">
        <v>0</v>
      </c>
    </row>
    <row r="1042" spans="1:36" x14ac:dyDescent="0.2">
      <c r="A1042" s="3" t="s">
        <v>75</v>
      </c>
      <c r="B1042" s="3" t="s">
        <v>83</v>
      </c>
      <c r="C1042" s="3" t="s">
        <v>95</v>
      </c>
      <c r="D1042" s="3">
        <v>2</v>
      </c>
      <c r="E1042" s="3">
        <v>2023</v>
      </c>
      <c r="F1042" s="3">
        <v>1</v>
      </c>
      <c r="G1042" s="3" t="s">
        <v>42</v>
      </c>
      <c r="H1042" s="3" t="s">
        <v>40</v>
      </c>
      <c r="I1042" s="5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 t="e">
        <f t="shared" si="17"/>
        <v>#DIV/0!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0</v>
      </c>
      <c r="AJ1042" s="3">
        <v>0</v>
      </c>
    </row>
    <row r="1043" spans="1:36" x14ac:dyDescent="0.2">
      <c r="A1043" s="3" t="s">
        <v>75</v>
      </c>
      <c r="B1043" s="3" t="s">
        <v>83</v>
      </c>
      <c r="C1043" s="3" t="s">
        <v>95</v>
      </c>
      <c r="D1043" s="3">
        <v>2</v>
      </c>
      <c r="E1043" s="3">
        <v>2023</v>
      </c>
      <c r="F1043" s="3">
        <v>1</v>
      </c>
      <c r="G1043" s="3" t="s">
        <v>39</v>
      </c>
      <c r="H1043" s="3" t="s">
        <v>40</v>
      </c>
      <c r="I1043" s="5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 t="e">
        <f t="shared" si="17"/>
        <v>#DIV/0!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0</v>
      </c>
      <c r="AJ1043" s="3">
        <v>0</v>
      </c>
    </row>
    <row r="1044" spans="1:36" x14ac:dyDescent="0.2">
      <c r="A1044" s="3" t="s">
        <v>75</v>
      </c>
      <c r="B1044" s="3" t="s">
        <v>83</v>
      </c>
      <c r="C1044" s="3" t="s">
        <v>95</v>
      </c>
      <c r="D1044" s="3">
        <v>3</v>
      </c>
      <c r="E1044" s="3">
        <v>2023</v>
      </c>
      <c r="F1044" s="3">
        <v>1</v>
      </c>
      <c r="G1044" s="3" t="s">
        <v>42</v>
      </c>
      <c r="H1044" s="3" t="s">
        <v>40</v>
      </c>
      <c r="I1044" s="5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 t="e">
        <f t="shared" si="17"/>
        <v>#DIV/0!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0</v>
      </c>
      <c r="AJ1044" s="3">
        <v>0</v>
      </c>
    </row>
    <row r="1045" spans="1:36" x14ac:dyDescent="0.2">
      <c r="A1045" s="3" t="s">
        <v>75</v>
      </c>
      <c r="B1045" s="3" t="s">
        <v>83</v>
      </c>
      <c r="C1045" s="3" t="s">
        <v>95</v>
      </c>
      <c r="D1045" s="3">
        <v>3</v>
      </c>
      <c r="E1045" s="3">
        <v>2023</v>
      </c>
      <c r="F1045" s="3">
        <v>1</v>
      </c>
      <c r="G1045" s="3" t="s">
        <v>39</v>
      </c>
      <c r="H1045" s="3" t="s">
        <v>40</v>
      </c>
      <c r="I1045" s="5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 t="e">
        <f t="shared" si="17"/>
        <v>#DIV/0!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0</v>
      </c>
      <c r="AF1045" s="3">
        <v>0</v>
      </c>
      <c r="AG1045" s="3">
        <v>0</v>
      </c>
      <c r="AH1045" s="3">
        <v>0</v>
      </c>
      <c r="AI1045" s="3">
        <v>0</v>
      </c>
      <c r="AJ1045" s="3">
        <v>0</v>
      </c>
    </row>
    <row r="1046" spans="1:36" x14ac:dyDescent="0.2">
      <c r="A1046" s="3" t="s">
        <v>75</v>
      </c>
      <c r="B1046" s="3" t="s">
        <v>83</v>
      </c>
      <c r="C1046" s="3" t="s">
        <v>95</v>
      </c>
      <c r="D1046" s="3">
        <v>2</v>
      </c>
      <c r="E1046" s="3">
        <v>2023</v>
      </c>
      <c r="F1046" s="3">
        <v>1</v>
      </c>
      <c r="G1046" s="3" t="s">
        <v>42</v>
      </c>
      <c r="H1046" s="3" t="s">
        <v>46</v>
      </c>
      <c r="I1046" s="5">
        <v>222672</v>
      </c>
      <c r="J1046" s="3">
        <v>22560</v>
      </c>
      <c r="K1046" s="3">
        <v>200112</v>
      </c>
      <c r="L1046" s="3">
        <v>133603.20000000001</v>
      </c>
      <c r="M1046" s="3">
        <v>66508.800000000003</v>
      </c>
      <c r="N1046" s="3">
        <v>629808.0959999999</v>
      </c>
      <c r="O1046" s="3">
        <f t="shared" si="17"/>
        <v>314.72780043175817</v>
      </c>
      <c r="P1046" s="3">
        <v>225840</v>
      </c>
      <c r="Q1046" s="3">
        <v>88998.384000000005</v>
      </c>
      <c r="R1046" s="3">
        <v>189532.00800000003</v>
      </c>
      <c r="S1046" s="3">
        <v>17280.048000000003</v>
      </c>
      <c r="T1046" s="3">
        <v>8119.7040000000006</v>
      </c>
      <c r="U1046" s="3">
        <v>6650.8799999999992</v>
      </c>
      <c r="V1046" s="3">
        <v>93387.071999999986</v>
      </c>
      <c r="W1046" s="3">
        <v>0</v>
      </c>
      <c r="X1046" s="3">
        <v>-563299.29600000009</v>
      </c>
      <c r="Y1046" s="3">
        <v>0</v>
      </c>
      <c r="Z1046" s="3">
        <v>29588.111999999997</v>
      </c>
      <c r="AA1046" s="3">
        <v>-29588.111999999997</v>
      </c>
      <c r="AB1046" s="3">
        <v>0</v>
      </c>
      <c r="AC1046" s="3">
        <v>0</v>
      </c>
      <c r="AD1046" s="3">
        <v>0</v>
      </c>
      <c r="AE1046" s="3">
        <v>-592887.40800000005</v>
      </c>
      <c r="AF1046" s="3">
        <v>0</v>
      </c>
      <c r="AG1046" s="3">
        <v>-592887.40800000005</v>
      </c>
      <c r="AH1046" s="3">
        <v>-592887.40800000005</v>
      </c>
      <c r="AI1046" s="3">
        <v>1008000</v>
      </c>
      <c r="AJ1046" s="3">
        <v>0</v>
      </c>
    </row>
    <row r="1047" spans="1:36" x14ac:dyDescent="0.2">
      <c r="A1047" s="3" t="s">
        <v>75</v>
      </c>
      <c r="B1047" s="3" t="s">
        <v>83</v>
      </c>
      <c r="C1047" s="3" t="s">
        <v>95</v>
      </c>
      <c r="D1047" s="3">
        <v>3</v>
      </c>
      <c r="E1047" s="3">
        <v>2023</v>
      </c>
      <c r="F1047" s="3">
        <v>1</v>
      </c>
      <c r="G1047" s="3" t="s">
        <v>42</v>
      </c>
      <c r="H1047" s="3" t="s">
        <v>46</v>
      </c>
      <c r="I1047" s="5">
        <v>355416</v>
      </c>
      <c r="J1047" s="3">
        <v>84672</v>
      </c>
      <c r="K1047" s="3">
        <v>270744</v>
      </c>
      <c r="L1047" s="3">
        <v>213249.59999999998</v>
      </c>
      <c r="M1047" s="3">
        <v>57494.399999999994</v>
      </c>
      <c r="N1047" s="3">
        <v>324408.91200000001</v>
      </c>
      <c r="O1047" s="3">
        <f t="shared" si="17"/>
        <v>119.82127470968886</v>
      </c>
      <c r="P1047" s="3">
        <v>112920</v>
      </c>
      <c r="Q1047" s="3">
        <v>47300.076000000001</v>
      </c>
      <c r="R1047" s="3">
        <v>89833.475999999995</v>
      </c>
      <c r="S1047" s="3">
        <v>17174.423999999999</v>
      </c>
      <c r="T1047" s="3">
        <v>547.90800000000002</v>
      </c>
      <c r="U1047" s="3">
        <v>5749.44</v>
      </c>
      <c r="V1047" s="3">
        <v>50883.588000000003</v>
      </c>
      <c r="W1047" s="3">
        <v>0</v>
      </c>
      <c r="X1047" s="3">
        <v>-266914.51199999999</v>
      </c>
      <c r="Y1047" s="3">
        <v>0</v>
      </c>
      <c r="Z1047" s="3">
        <v>15343.5</v>
      </c>
      <c r="AA1047" s="3">
        <v>-15343.5</v>
      </c>
      <c r="AB1047" s="3">
        <v>0</v>
      </c>
      <c r="AC1047" s="3">
        <v>0</v>
      </c>
      <c r="AD1047" s="3">
        <v>0</v>
      </c>
      <c r="AE1047" s="3">
        <v>-282258.01199999999</v>
      </c>
      <c r="AF1047" s="3">
        <v>0</v>
      </c>
      <c r="AG1047" s="3">
        <v>-282258.01199999999</v>
      </c>
      <c r="AH1047" s="3">
        <v>-282258.01199999999</v>
      </c>
      <c r="AI1047" s="3">
        <v>288000</v>
      </c>
      <c r="AJ1047" s="3">
        <v>0</v>
      </c>
    </row>
    <row r="1048" spans="1:36" x14ac:dyDescent="0.2">
      <c r="A1048" s="3" t="s">
        <v>75</v>
      </c>
      <c r="B1048" s="3" t="s">
        <v>83</v>
      </c>
      <c r="C1048" s="3" t="s">
        <v>95</v>
      </c>
      <c r="D1048" s="3">
        <v>1</v>
      </c>
      <c r="E1048" s="3">
        <v>2023</v>
      </c>
      <c r="F1048" s="3">
        <v>1</v>
      </c>
      <c r="G1048" s="3" t="s">
        <v>42</v>
      </c>
      <c r="H1048" s="3" t="s">
        <v>46</v>
      </c>
      <c r="I1048" s="5">
        <v>978696</v>
      </c>
      <c r="J1048" s="3">
        <v>0</v>
      </c>
      <c r="K1048" s="3">
        <v>978696</v>
      </c>
      <c r="L1048" s="3">
        <v>596817.6</v>
      </c>
      <c r="M1048" s="3">
        <v>381878.39999999997</v>
      </c>
      <c r="N1048" s="3">
        <v>768035.97599999991</v>
      </c>
      <c r="O1048" s="3">
        <f t="shared" si="17"/>
        <v>78.475438338360419</v>
      </c>
      <c r="P1048" s="3">
        <v>225840</v>
      </c>
      <c r="Q1048" s="3">
        <v>88998.384000000005</v>
      </c>
      <c r="R1048" s="3">
        <v>192830.83199999999</v>
      </c>
      <c r="S1048" s="3">
        <v>56209.248</v>
      </c>
      <c r="T1048" s="3">
        <v>2545.3679999999999</v>
      </c>
      <c r="U1048" s="3">
        <v>38187.840000000004</v>
      </c>
      <c r="V1048" s="3">
        <v>163424.304</v>
      </c>
      <c r="W1048" s="3">
        <v>0</v>
      </c>
      <c r="X1048" s="3">
        <v>-386157.57600000006</v>
      </c>
      <c r="Y1048" s="3">
        <v>0</v>
      </c>
      <c r="Z1048" s="3">
        <v>31669.151999999998</v>
      </c>
      <c r="AA1048" s="3">
        <v>-31669.151999999998</v>
      </c>
      <c r="AB1048" s="3">
        <v>0</v>
      </c>
      <c r="AC1048" s="3">
        <v>0</v>
      </c>
      <c r="AD1048" s="3">
        <v>0</v>
      </c>
      <c r="AE1048" s="3">
        <v>-417826.728</v>
      </c>
      <c r="AF1048" s="3">
        <v>0</v>
      </c>
      <c r="AG1048" s="3">
        <v>-417826.728</v>
      </c>
      <c r="AH1048" s="3">
        <v>-417826.728</v>
      </c>
      <c r="AI1048" s="3">
        <v>720000</v>
      </c>
      <c r="AJ1048" s="3">
        <v>0</v>
      </c>
    </row>
    <row r="1049" spans="1:36" x14ac:dyDescent="0.2">
      <c r="A1049" s="3" t="s">
        <v>75</v>
      </c>
      <c r="B1049" s="3" t="s">
        <v>83</v>
      </c>
      <c r="C1049" s="3" t="s">
        <v>95</v>
      </c>
      <c r="D1049" s="3">
        <v>2</v>
      </c>
      <c r="E1049" s="3">
        <v>2023</v>
      </c>
      <c r="F1049" s="3">
        <v>1</v>
      </c>
      <c r="G1049" s="3" t="s">
        <v>48</v>
      </c>
      <c r="H1049" s="3" t="s">
        <v>46</v>
      </c>
      <c r="I1049" s="5">
        <v>13996380</v>
      </c>
      <c r="J1049" s="3">
        <v>599520</v>
      </c>
      <c r="K1049" s="3">
        <v>13396860</v>
      </c>
      <c r="L1049" s="3">
        <v>9189892.5719999988</v>
      </c>
      <c r="M1049" s="3">
        <v>4206967.4280000003</v>
      </c>
      <c r="N1049" s="3">
        <v>3390148.44</v>
      </c>
      <c r="O1049" s="3">
        <f t="shared" si="17"/>
        <v>25.305545030701222</v>
      </c>
      <c r="P1049" s="3">
        <v>956520</v>
      </c>
      <c r="Q1049" s="3">
        <v>389176.23599999998</v>
      </c>
      <c r="R1049" s="3">
        <v>920602.83599999989</v>
      </c>
      <c r="S1049" s="3">
        <v>81282.407999999996</v>
      </c>
      <c r="T1049" s="3">
        <v>207701.68799999999</v>
      </c>
      <c r="U1049" s="3">
        <v>284253.91200000001</v>
      </c>
      <c r="V1049" s="3">
        <v>550611.36</v>
      </c>
      <c r="W1049" s="3">
        <v>0</v>
      </c>
      <c r="X1049" s="3">
        <v>816818.9879999999</v>
      </c>
      <c r="Y1049" s="3">
        <v>283.02832867505032</v>
      </c>
      <c r="Z1049" s="3">
        <v>231795.288</v>
      </c>
      <c r="AA1049" s="3">
        <v>-231512.25967132492</v>
      </c>
      <c r="AB1049" s="3">
        <v>26487.360000000001</v>
      </c>
      <c r="AC1049" s="3">
        <v>26487.360000000001</v>
      </c>
      <c r="AD1049" s="3">
        <v>0</v>
      </c>
      <c r="AE1049" s="3">
        <v>585306.72832867503</v>
      </c>
      <c r="AF1049" s="3">
        <v>0</v>
      </c>
      <c r="AG1049" s="3">
        <v>585306.72832867503</v>
      </c>
      <c r="AH1049" s="3">
        <v>585306.72832867503</v>
      </c>
      <c r="AI1049" s="3">
        <v>12720000</v>
      </c>
      <c r="AJ1049" s="3">
        <v>0</v>
      </c>
    </row>
    <row r="1050" spans="1:36" x14ac:dyDescent="0.2">
      <c r="A1050" s="3" t="s">
        <v>75</v>
      </c>
      <c r="B1050" s="3" t="s">
        <v>83</v>
      </c>
      <c r="C1050" s="3" t="s">
        <v>95</v>
      </c>
      <c r="D1050" s="3">
        <v>3</v>
      </c>
      <c r="E1050" s="3">
        <v>2023</v>
      </c>
      <c r="F1050" s="3">
        <v>1</v>
      </c>
      <c r="G1050" s="3" t="s">
        <v>48</v>
      </c>
      <c r="H1050" s="3" t="s">
        <v>46</v>
      </c>
      <c r="I1050" s="5">
        <v>15473926</v>
      </c>
      <c r="J1050" s="3">
        <v>927810</v>
      </c>
      <c r="K1050" s="3">
        <v>14546116</v>
      </c>
      <c r="L1050" s="3">
        <v>10116314.85</v>
      </c>
      <c r="M1050" s="3">
        <v>4434801.1500000004</v>
      </c>
      <c r="N1050" s="3">
        <v>6876360.2180000013</v>
      </c>
      <c r="O1050" s="3">
        <f t="shared" si="17"/>
        <v>47.272826766952782</v>
      </c>
      <c r="P1050" s="3">
        <v>2072460</v>
      </c>
      <c r="Q1050" s="3">
        <v>894620.81799999997</v>
      </c>
      <c r="R1050" s="3">
        <v>1903292.6639999999</v>
      </c>
      <c r="S1050" s="3">
        <v>253293.16999999998</v>
      </c>
      <c r="T1050" s="3">
        <v>547591.64200000011</v>
      </c>
      <c r="U1050" s="3">
        <v>260413.58199999999</v>
      </c>
      <c r="V1050" s="3">
        <v>944688.34199999995</v>
      </c>
      <c r="W1050" s="3">
        <v>0</v>
      </c>
      <c r="X1050" s="3">
        <v>-2441559.0680000004</v>
      </c>
      <c r="Y1050" s="3">
        <v>279.36318699047951</v>
      </c>
      <c r="Z1050" s="3">
        <v>589411.16</v>
      </c>
      <c r="AA1050" s="3">
        <v>-589131.79681300954</v>
      </c>
      <c r="AB1050" s="3">
        <v>11091.6</v>
      </c>
      <c r="AC1050" s="3">
        <v>11091.6</v>
      </c>
      <c r="AD1050" s="3">
        <v>0</v>
      </c>
      <c r="AE1050" s="3">
        <v>-3030690.8648130093</v>
      </c>
      <c r="AF1050" s="3">
        <v>0</v>
      </c>
      <c r="AG1050" s="3">
        <v>-3030690.8648130093</v>
      </c>
      <c r="AH1050" s="3">
        <v>-3030690.8648130093</v>
      </c>
      <c r="AI1050" s="3">
        <v>24440000</v>
      </c>
      <c r="AJ1050" s="3">
        <v>0</v>
      </c>
    </row>
    <row r="1051" spans="1:36" x14ac:dyDescent="0.2">
      <c r="A1051" s="3" t="s">
        <v>75</v>
      </c>
      <c r="B1051" s="3" t="s">
        <v>83</v>
      </c>
      <c r="C1051" s="3" t="s">
        <v>95</v>
      </c>
      <c r="D1051" s="3">
        <v>1</v>
      </c>
      <c r="E1051" s="3">
        <v>2023</v>
      </c>
      <c r="F1051" s="3">
        <v>1</v>
      </c>
      <c r="G1051" s="3" t="s">
        <v>48</v>
      </c>
      <c r="H1051" s="3" t="s">
        <v>46</v>
      </c>
      <c r="I1051" s="5">
        <v>25066704</v>
      </c>
      <c r="J1051" s="3">
        <v>1951482</v>
      </c>
      <c r="K1051" s="3">
        <v>23115222</v>
      </c>
      <c r="L1051" s="3">
        <v>14799600.66</v>
      </c>
      <c r="M1051" s="3">
        <v>8315621.3399999999</v>
      </c>
      <c r="N1051" s="3">
        <v>7083980.9819999998</v>
      </c>
      <c r="O1051" s="3">
        <f t="shared" si="17"/>
        <v>30.646389560956845</v>
      </c>
      <c r="P1051" s="3">
        <v>2072460</v>
      </c>
      <c r="Q1051" s="3">
        <v>843215.17800000007</v>
      </c>
      <c r="R1051" s="3">
        <v>2016161.4720000001</v>
      </c>
      <c r="S1051" s="3">
        <v>168552.17600000001</v>
      </c>
      <c r="T1051" s="3">
        <v>223933.55400000003</v>
      </c>
      <c r="U1051" s="3">
        <v>540752.31599999999</v>
      </c>
      <c r="V1051" s="3">
        <v>1218906.2860000001</v>
      </c>
      <c r="W1051" s="3">
        <v>0</v>
      </c>
      <c r="X1051" s="3">
        <v>1231640.358</v>
      </c>
      <c r="Y1051" s="3">
        <v>772.5751653325965</v>
      </c>
      <c r="Z1051" s="3">
        <v>428280.86600000004</v>
      </c>
      <c r="AA1051" s="3">
        <v>-427508.29083466734</v>
      </c>
      <c r="AB1051" s="3">
        <v>36920</v>
      </c>
      <c r="AC1051" s="3">
        <v>36920</v>
      </c>
      <c r="AD1051" s="3">
        <v>0</v>
      </c>
      <c r="AE1051" s="3">
        <v>804132.06716533273</v>
      </c>
      <c r="AF1051" s="3">
        <v>0</v>
      </c>
      <c r="AG1051" s="3">
        <v>804132.06716533273</v>
      </c>
      <c r="AH1051" s="3">
        <v>804132.06716533273</v>
      </c>
      <c r="AI1051" s="3">
        <v>24440000</v>
      </c>
      <c r="AJ1051" s="3">
        <v>0</v>
      </c>
    </row>
    <row r="1052" spans="1:36" x14ac:dyDescent="0.2">
      <c r="A1052" s="3" t="s">
        <v>75</v>
      </c>
      <c r="B1052" s="3" t="s">
        <v>83</v>
      </c>
      <c r="C1052" s="3" t="s">
        <v>95</v>
      </c>
      <c r="D1052" s="3">
        <v>1</v>
      </c>
      <c r="E1052" s="3">
        <v>2023</v>
      </c>
      <c r="F1052" s="3">
        <v>1</v>
      </c>
      <c r="G1052" s="3" t="s">
        <v>39</v>
      </c>
      <c r="H1052" s="3" t="s">
        <v>46</v>
      </c>
      <c r="I1052" s="5">
        <v>125468984.69117703</v>
      </c>
      <c r="J1052" s="3">
        <v>0</v>
      </c>
      <c r="K1052" s="3">
        <v>125468984.69117703</v>
      </c>
      <c r="L1052" s="3">
        <v>125251304.92298242</v>
      </c>
      <c r="M1052" s="3">
        <v>217679.76819459535</v>
      </c>
      <c r="N1052" s="3">
        <v>252356.304</v>
      </c>
      <c r="O1052" s="3">
        <f t="shared" si="17"/>
        <v>0.20113042647243615</v>
      </c>
      <c r="P1052" s="3">
        <v>61120</v>
      </c>
      <c r="Q1052" s="3">
        <v>24086</v>
      </c>
      <c r="R1052" s="3">
        <v>98376.864000000001</v>
      </c>
      <c r="S1052" s="3">
        <v>1917.296</v>
      </c>
      <c r="T1052" s="3">
        <v>15925.456000000002</v>
      </c>
      <c r="U1052" s="3">
        <v>22018.863999999998</v>
      </c>
      <c r="V1052" s="3">
        <v>28911.824000000008</v>
      </c>
      <c r="W1052" s="3">
        <v>0</v>
      </c>
      <c r="X1052" s="3">
        <v>-34676.535805404666</v>
      </c>
      <c r="Y1052" s="3">
        <v>0</v>
      </c>
      <c r="Z1052" s="3">
        <v>8725.44</v>
      </c>
      <c r="AA1052" s="3">
        <v>-8725.44</v>
      </c>
      <c r="AB1052" s="3">
        <v>7280</v>
      </c>
      <c r="AC1052" s="3">
        <v>3251.2</v>
      </c>
      <c r="AD1052" s="3">
        <v>4028.8</v>
      </c>
      <c r="AE1052" s="3">
        <v>-39373.175805404666</v>
      </c>
      <c r="AF1052" s="3">
        <v>0</v>
      </c>
      <c r="AG1052" s="3">
        <v>-39373.175805404666</v>
      </c>
      <c r="AH1052" s="3">
        <v>-39373.175805404666</v>
      </c>
      <c r="AI1052" s="3">
        <v>397468984.69117701</v>
      </c>
      <c r="AJ1052" s="3">
        <v>157073.02149641747</v>
      </c>
    </row>
    <row r="1053" spans="1:36" x14ac:dyDescent="0.2">
      <c r="A1053" s="3" t="s">
        <v>75</v>
      </c>
      <c r="B1053" s="3" t="s">
        <v>83</v>
      </c>
      <c r="C1053" s="3" t="s">
        <v>95</v>
      </c>
      <c r="D1053" s="3">
        <v>3</v>
      </c>
      <c r="E1053" s="3">
        <v>2023</v>
      </c>
      <c r="F1053" s="3">
        <v>1</v>
      </c>
      <c r="G1053" s="3" t="s">
        <v>39</v>
      </c>
      <c r="H1053" s="3" t="s">
        <v>46</v>
      </c>
      <c r="I1053" s="5">
        <v>266646366.43223882</v>
      </c>
      <c r="J1053" s="3">
        <v>0</v>
      </c>
      <c r="K1053" s="3">
        <v>266646366.43223882</v>
      </c>
      <c r="L1053" s="3">
        <v>265600798.0014016</v>
      </c>
      <c r="M1053" s="3">
        <v>1045568.4308372019</v>
      </c>
      <c r="N1053" s="3">
        <v>432078.85099999991</v>
      </c>
      <c r="O1053" s="3">
        <f t="shared" si="17"/>
        <v>0.16204190470744756</v>
      </c>
      <c r="P1053" s="3">
        <v>87860</v>
      </c>
      <c r="Q1053" s="3">
        <v>36803.196999999993</v>
      </c>
      <c r="R1053" s="3">
        <v>135689.834</v>
      </c>
      <c r="S1053" s="3">
        <v>2756.1129999999998</v>
      </c>
      <c r="T1053" s="3">
        <v>24792.505000000001</v>
      </c>
      <c r="U1053" s="3">
        <v>104556.84999999999</v>
      </c>
      <c r="V1053" s="3">
        <v>39620.351999999999</v>
      </c>
      <c r="W1053" s="3">
        <v>0</v>
      </c>
      <c r="X1053" s="3">
        <v>613489.57983720209</v>
      </c>
      <c r="Y1053" s="3">
        <v>0</v>
      </c>
      <c r="Z1053" s="3">
        <v>0</v>
      </c>
      <c r="AA1053" s="3">
        <v>0</v>
      </c>
      <c r="AB1053" s="3">
        <v>7475</v>
      </c>
      <c r="AC1053" s="3">
        <v>0</v>
      </c>
      <c r="AD1053" s="3">
        <v>7475</v>
      </c>
      <c r="AE1053" s="3">
        <v>620964.57983720209</v>
      </c>
      <c r="AF1053" s="3">
        <v>0</v>
      </c>
      <c r="AG1053" s="3">
        <v>620964.57983720209</v>
      </c>
      <c r="AH1053" s="3">
        <v>620964.57983720209</v>
      </c>
      <c r="AI1053" s="3">
        <v>266646366.43223882</v>
      </c>
      <c r="AJ1053" s="3">
        <v>225792.46840110008</v>
      </c>
    </row>
    <row r="1054" spans="1:36" x14ac:dyDescent="0.2">
      <c r="A1054" s="3" t="s">
        <v>75</v>
      </c>
      <c r="B1054" s="3" t="s">
        <v>83</v>
      </c>
      <c r="C1054" s="3" t="s">
        <v>95</v>
      </c>
      <c r="D1054" s="3">
        <v>2</v>
      </c>
      <c r="E1054" s="3">
        <v>2023</v>
      </c>
      <c r="F1054" s="3">
        <v>1</v>
      </c>
      <c r="G1054" s="3" t="s">
        <v>39</v>
      </c>
      <c r="H1054" s="3" t="s">
        <v>46</v>
      </c>
      <c r="I1054" s="5">
        <v>317379825.15007204</v>
      </c>
      <c r="J1054" s="3">
        <v>0</v>
      </c>
      <c r="K1054" s="3">
        <v>317379825.15007204</v>
      </c>
      <c r="L1054" s="3">
        <v>316431025.72801924</v>
      </c>
      <c r="M1054" s="3">
        <v>948799.42205280298</v>
      </c>
      <c r="N1054" s="3">
        <v>388802.08500000002</v>
      </c>
      <c r="O1054" s="3">
        <f t="shared" si="17"/>
        <v>0.1225037176878386</v>
      </c>
      <c r="P1054" s="3">
        <v>80220</v>
      </c>
      <c r="Q1054" s="3">
        <v>31612.875</v>
      </c>
      <c r="R1054" s="3">
        <v>134648.11499999999</v>
      </c>
      <c r="S1054" s="3">
        <v>2516.451</v>
      </c>
      <c r="T1054" s="3">
        <v>17307.339</v>
      </c>
      <c r="U1054" s="3">
        <v>89292.42</v>
      </c>
      <c r="V1054" s="3">
        <v>33204.885000000002</v>
      </c>
      <c r="W1054" s="3">
        <v>0</v>
      </c>
      <c r="X1054" s="3">
        <v>559997.33705280302</v>
      </c>
      <c r="Y1054" s="3">
        <v>0</v>
      </c>
      <c r="Z1054" s="3">
        <v>-11452.14</v>
      </c>
      <c r="AA1054" s="3">
        <v>11452.14</v>
      </c>
      <c r="AB1054" s="3">
        <v>316890</v>
      </c>
      <c r="AC1054" s="3">
        <v>17068.800000000003</v>
      </c>
      <c r="AD1054" s="3">
        <v>299821.2</v>
      </c>
      <c r="AE1054" s="3">
        <v>871270.6770528031</v>
      </c>
      <c r="AF1054" s="3">
        <v>0</v>
      </c>
      <c r="AG1054" s="3">
        <v>871270.6770528031</v>
      </c>
      <c r="AH1054" s="3">
        <v>871270.6770528031</v>
      </c>
      <c r="AI1054" s="3">
        <v>317379825.15007204</v>
      </c>
      <c r="AJ1054" s="3">
        <v>206158.34071404792</v>
      </c>
    </row>
    <row r="1055" spans="1:36" x14ac:dyDescent="0.2">
      <c r="A1055" s="3" t="s">
        <v>75</v>
      </c>
      <c r="B1055" s="3" t="s">
        <v>83</v>
      </c>
      <c r="C1055" s="3" t="s">
        <v>96</v>
      </c>
      <c r="D1055" s="3">
        <v>1</v>
      </c>
      <c r="E1055" s="3">
        <v>2023</v>
      </c>
      <c r="F1055" s="3">
        <v>1</v>
      </c>
      <c r="G1055" s="3" t="s">
        <v>42</v>
      </c>
      <c r="H1055" s="3" t="s">
        <v>40</v>
      </c>
      <c r="I1055" s="5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 t="e">
        <f t="shared" si="17"/>
        <v>#DIV/0!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</row>
    <row r="1056" spans="1:36" x14ac:dyDescent="0.2">
      <c r="A1056" s="3" t="s">
        <v>75</v>
      </c>
      <c r="B1056" s="3" t="s">
        <v>83</v>
      </c>
      <c r="C1056" s="3" t="s">
        <v>96</v>
      </c>
      <c r="D1056" s="3">
        <v>1</v>
      </c>
      <c r="E1056" s="3">
        <v>2023</v>
      </c>
      <c r="F1056" s="3">
        <v>1</v>
      </c>
      <c r="G1056" s="3" t="s">
        <v>39</v>
      </c>
      <c r="H1056" s="3" t="s">
        <v>40</v>
      </c>
      <c r="I1056" s="5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 t="e">
        <f t="shared" si="17"/>
        <v>#DIV/0!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  <c r="AG1056" s="3">
        <v>0</v>
      </c>
      <c r="AH1056" s="3">
        <v>0</v>
      </c>
      <c r="AI1056" s="3">
        <v>0</v>
      </c>
      <c r="AJ1056" s="3">
        <v>0</v>
      </c>
    </row>
    <row r="1057" spans="1:36" x14ac:dyDescent="0.2">
      <c r="A1057" s="3" t="s">
        <v>75</v>
      </c>
      <c r="B1057" s="3" t="s">
        <v>83</v>
      </c>
      <c r="C1057" s="3" t="s">
        <v>96</v>
      </c>
      <c r="D1057" s="3">
        <v>2</v>
      </c>
      <c r="E1057" s="3">
        <v>2023</v>
      </c>
      <c r="F1057" s="3">
        <v>1</v>
      </c>
      <c r="G1057" s="3" t="s">
        <v>42</v>
      </c>
      <c r="H1057" s="3" t="s">
        <v>40</v>
      </c>
      <c r="I1057" s="5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 t="e">
        <f t="shared" si="17"/>
        <v>#DIV/0!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3">
        <v>0</v>
      </c>
      <c r="AE1057" s="3">
        <v>0</v>
      </c>
      <c r="AF1057" s="3">
        <v>0</v>
      </c>
      <c r="AG1057" s="3">
        <v>0</v>
      </c>
      <c r="AH1057" s="3">
        <v>0</v>
      </c>
      <c r="AI1057" s="3">
        <v>0</v>
      </c>
      <c r="AJ1057" s="3">
        <v>0</v>
      </c>
    </row>
    <row r="1058" spans="1:36" x14ac:dyDescent="0.2">
      <c r="A1058" s="3" t="s">
        <v>75</v>
      </c>
      <c r="B1058" s="3" t="s">
        <v>83</v>
      </c>
      <c r="C1058" s="3" t="s">
        <v>96</v>
      </c>
      <c r="D1058" s="3">
        <v>2</v>
      </c>
      <c r="E1058" s="3">
        <v>2023</v>
      </c>
      <c r="F1058" s="3">
        <v>1</v>
      </c>
      <c r="G1058" s="3" t="s">
        <v>39</v>
      </c>
      <c r="H1058" s="3" t="s">
        <v>40</v>
      </c>
      <c r="I1058" s="5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 t="e">
        <f t="shared" si="17"/>
        <v>#DIV/0!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</row>
    <row r="1059" spans="1:36" x14ac:dyDescent="0.2">
      <c r="A1059" s="3" t="s">
        <v>75</v>
      </c>
      <c r="B1059" s="3" t="s">
        <v>83</v>
      </c>
      <c r="C1059" s="3" t="s">
        <v>96</v>
      </c>
      <c r="D1059" s="3">
        <v>3</v>
      </c>
      <c r="E1059" s="3">
        <v>2023</v>
      </c>
      <c r="F1059" s="3">
        <v>1</v>
      </c>
      <c r="G1059" s="3" t="s">
        <v>42</v>
      </c>
      <c r="H1059" s="3" t="s">
        <v>40</v>
      </c>
      <c r="I1059" s="5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 t="e">
        <f t="shared" si="17"/>
        <v>#DIV/0!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</row>
    <row r="1060" spans="1:36" x14ac:dyDescent="0.2">
      <c r="A1060" s="3" t="s">
        <v>75</v>
      </c>
      <c r="B1060" s="3" t="s">
        <v>83</v>
      </c>
      <c r="C1060" s="3" t="s">
        <v>96</v>
      </c>
      <c r="D1060" s="3">
        <v>3</v>
      </c>
      <c r="E1060" s="3">
        <v>2023</v>
      </c>
      <c r="F1060" s="3">
        <v>1</v>
      </c>
      <c r="G1060" s="3" t="s">
        <v>39</v>
      </c>
      <c r="H1060" s="3" t="s">
        <v>40</v>
      </c>
      <c r="I1060" s="5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 t="e">
        <f t="shared" si="17"/>
        <v>#DIV/0!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</row>
    <row r="1061" spans="1:36" x14ac:dyDescent="0.2">
      <c r="A1061" s="3" t="s">
        <v>75</v>
      </c>
      <c r="B1061" s="3" t="s">
        <v>83</v>
      </c>
      <c r="C1061" s="3" t="s">
        <v>96</v>
      </c>
      <c r="D1061" s="3">
        <v>2</v>
      </c>
      <c r="E1061" s="3">
        <v>2023</v>
      </c>
      <c r="F1061" s="3">
        <v>1</v>
      </c>
      <c r="G1061" s="3" t="s">
        <v>42</v>
      </c>
      <c r="H1061" s="3" t="s">
        <v>46</v>
      </c>
      <c r="I1061" s="5">
        <v>179916</v>
      </c>
      <c r="J1061" s="3">
        <v>8712.0000000000018</v>
      </c>
      <c r="K1061" s="3">
        <v>171204</v>
      </c>
      <c r="L1061" s="3">
        <v>107949.59999999999</v>
      </c>
      <c r="M1061" s="3">
        <v>63254.400000000009</v>
      </c>
      <c r="N1061" s="3">
        <v>284340.94700000004</v>
      </c>
      <c r="O1061" s="3">
        <f t="shared" si="17"/>
        <v>166.08312130557701</v>
      </c>
      <c r="P1061" s="3">
        <v>83052.44200000001</v>
      </c>
      <c r="Q1061" s="3">
        <v>32880.397000000004</v>
      </c>
      <c r="R1061" s="3">
        <v>85283.429000000004</v>
      </c>
      <c r="S1061" s="3">
        <v>13832.775</v>
      </c>
      <c r="T1061" s="3">
        <v>18263.696</v>
      </c>
      <c r="U1061" s="3">
        <v>6325.44</v>
      </c>
      <c r="V1061" s="3">
        <v>44702.768000000004</v>
      </c>
      <c r="W1061" s="3">
        <v>0</v>
      </c>
      <c r="X1061" s="3">
        <v>-221086.54700000002</v>
      </c>
      <c r="Y1061" s="3">
        <v>0</v>
      </c>
      <c r="Z1061" s="3">
        <v>8648.3540000000012</v>
      </c>
      <c r="AA1061" s="3">
        <v>-8648.3540000000012</v>
      </c>
      <c r="AB1061" s="3">
        <v>0</v>
      </c>
      <c r="AC1061" s="3">
        <v>0</v>
      </c>
      <c r="AD1061" s="3">
        <v>0</v>
      </c>
      <c r="AE1061" s="3">
        <v>-229734.90100000001</v>
      </c>
      <c r="AF1061" s="3">
        <v>0</v>
      </c>
      <c r="AG1061" s="3">
        <v>-229734.90100000001</v>
      </c>
      <c r="AH1061" s="3">
        <v>-229734.90100000001</v>
      </c>
      <c r="AI1061" s="3">
        <v>253000.00000000003</v>
      </c>
      <c r="AJ1061" s="3">
        <v>0</v>
      </c>
    </row>
    <row r="1062" spans="1:36" x14ac:dyDescent="0.2">
      <c r="A1062" s="3" t="s">
        <v>75</v>
      </c>
      <c r="B1062" s="3" t="s">
        <v>83</v>
      </c>
      <c r="C1062" s="3" t="s">
        <v>96</v>
      </c>
      <c r="D1062" s="3">
        <v>3</v>
      </c>
      <c r="E1062" s="3">
        <v>2023</v>
      </c>
      <c r="F1062" s="3">
        <v>1</v>
      </c>
      <c r="G1062" s="3" t="s">
        <v>42</v>
      </c>
      <c r="H1062" s="3" t="s">
        <v>46</v>
      </c>
      <c r="I1062" s="5">
        <v>186950</v>
      </c>
      <c r="J1062" s="3">
        <v>54450</v>
      </c>
      <c r="K1062" s="3">
        <v>132500</v>
      </c>
      <c r="L1062" s="3">
        <v>112170</v>
      </c>
      <c r="M1062" s="3">
        <v>20330</v>
      </c>
      <c r="N1062" s="3">
        <v>579614.57499999995</v>
      </c>
      <c r="O1062" s="3">
        <f t="shared" si="17"/>
        <v>437.44496226415094</v>
      </c>
      <c r="P1062" s="3">
        <v>188755.55</v>
      </c>
      <c r="Q1062" s="3">
        <v>85167.125</v>
      </c>
      <c r="R1062" s="3">
        <v>196628.02500000002</v>
      </c>
      <c r="S1062" s="3">
        <v>21349.35</v>
      </c>
      <c r="T1062" s="3">
        <v>1793.7750000000001</v>
      </c>
      <c r="U1062" s="3">
        <v>2033</v>
      </c>
      <c r="V1062" s="3">
        <v>83887.75</v>
      </c>
      <c r="W1062" s="3">
        <v>0</v>
      </c>
      <c r="X1062" s="3">
        <v>-559284.57499999995</v>
      </c>
      <c r="Y1062" s="3">
        <v>0</v>
      </c>
      <c r="Z1062" s="3">
        <v>18953.650000000001</v>
      </c>
      <c r="AA1062" s="3">
        <v>-18953.650000000001</v>
      </c>
      <c r="AB1062" s="3">
        <v>0</v>
      </c>
      <c r="AC1062" s="3">
        <v>0</v>
      </c>
      <c r="AD1062" s="3">
        <v>0</v>
      </c>
      <c r="AE1062" s="3">
        <v>-578238.22499999998</v>
      </c>
      <c r="AF1062" s="3">
        <v>0</v>
      </c>
      <c r="AG1062" s="3">
        <v>-578238.22499999998</v>
      </c>
      <c r="AH1062" s="3">
        <v>-578238.22499999998</v>
      </c>
      <c r="AI1062" s="3">
        <v>550000</v>
      </c>
      <c r="AJ1062" s="3">
        <v>0</v>
      </c>
    </row>
    <row r="1063" spans="1:36" x14ac:dyDescent="0.2">
      <c r="A1063" s="3" t="s">
        <v>75</v>
      </c>
      <c r="B1063" s="3" t="s">
        <v>83</v>
      </c>
      <c r="C1063" s="3" t="s">
        <v>96</v>
      </c>
      <c r="D1063" s="3">
        <v>1</v>
      </c>
      <c r="E1063" s="3">
        <v>2023</v>
      </c>
      <c r="F1063" s="3">
        <v>1</v>
      </c>
      <c r="G1063" s="3" t="s">
        <v>42</v>
      </c>
      <c r="H1063" s="3" t="s">
        <v>46</v>
      </c>
      <c r="I1063" s="5">
        <v>286536</v>
      </c>
      <c r="J1063" s="3">
        <v>5976</v>
      </c>
      <c r="K1063" s="3">
        <v>280560</v>
      </c>
      <c r="L1063" s="3">
        <v>171921.6</v>
      </c>
      <c r="M1063" s="3">
        <v>108638.39999999999</v>
      </c>
      <c r="N1063" s="3">
        <v>316021.53599999996</v>
      </c>
      <c r="O1063" s="3">
        <f t="shared" si="17"/>
        <v>112.63955517536355</v>
      </c>
      <c r="P1063" s="3">
        <v>90602.664000000004</v>
      </c>
      <c r="Q1063" s="3">
        <v>35869.524000000005</v>
      </c>
      <c r="R1063" s="3">
        <v>98997.119999999995</v>
      </c>
      <c r="S1063" s="3">
        <v>19779.900000000001</v>
      </c>
      <c r="T1063" s="3">
        <v>2005.38</v>
      </c>
      <c r="U1063" s="3">
        <v>10863.84</v>
      </c>
      <c r="V1063" s="3">
        <v>57903.108</v>
      </c>
      <c r="W1063" s="3">
        <v>0</v>
      </c>
      <c r="X1063" s="3">
        <v>-207383.13599999997</v>
      </c>
      <c r="Y1063" s="3">
        <v>0</v>
      </c>
      <c r="Z1063" s="3">
        <v>10061.591999999999</v>
      </c>
      <c r="AA1063" s="3">
        <v>-10061.591999999999</v>
      </c>
      <c r="AB1063" s="3">
        <v>0</v>
      </c>
      <c r="AC1063" s="3">
        <v>0</v>
      </c>
      <c r="AD1063" s="3">
        <v>0</v>
      </c>
      <c r="AE1063" s="3">
        <v>-217444.728</v>
      </c>
      <c r="AF1063" s="3">
        <v>0</v>
      </c>
      <c r="AG1063" s="3">
        <v>-217444.728</v>
      </c>
      <c r="AH1063" s="3">
        <v>-217444.728</v>
      </c>
      <c r="AI1063" s="3">
        <v>249600</v>
      </c>
      <c r="AJ1063" s="3">
        <v>0</v>
      </c>
    </row>
    <row r="1064" spans="1:36" x14ac:dyDescent="0.2">
      <c r="A1064" s="3" t="s">
        <v>75</v>
      </c>
      <c r="B1064" s="3" t="s">
        <v>83</v>
      </c>
      <c r="C1064" s="3" t="s">
        <v>96</v>
      </c>
      <c r="D1064" s="3">
        <v>1</v>
      </c>
      <c r="E1064" s="3">
        <v>2023</v>
      </c>
      <c r="F1064" s="3">
        <v>1</v>
      </c>
      <c r="G1064" s="3" t="s">
        <v>48</v>
      </c>
      <c r="H1064" s="3" t="s">
        <v>46</v>
      </c>
      <c r="I1064" s="5">
        <v>3386520</v>
      </c>
      <c r="J1064" s="3">
        <v>0</v>
      </c>
      <c r="K1064" s="3">
        <v>3386520</v>
      </c>
      <c r="L1064" s="3">
        <v>1927629.3840000001</v>
      </c>
      <c r="M1064" s="3">
        <v>1458890.6159999999</v>
      </c>
      <c r="N1064" s="3">
        <v>4505199.24</v>
      </c>
      <c r="O1064" s="3">
        <f t="shared" si="17"/>
        <v>133.03329789872791</v>
      </c>
      <c r="P1064" s="3">
        <v>1203792.024</v>
      </c>
      <c r="Q1064" s="3">
        <v>545865.91200000001</v>
      </c>
      <c r="R1064" s="3">
        <v>1480984.2000000002</v>
      </c>
      <c r="S1064" s="3">
        <v>93893.472000000009</v>
      </c>
      <c r="T1064" s="3">
        <v>250412.712</v>
      </c>
      <c r="U1064" s="3">
        <v>115493.54399999999</v>
      </c>
      <c r="V1064" s="3">
        <v>814757.37599999993</v>
      </c>
      <c r="W1064" s="3">
        <v>0</v>
      </c>
      <c r="X1064" s="3">
        <v>-3046308.6239999998</v>
      </c>
      <c r="Y1064" s="3">
        <v>135.54040194648562</v>
      </c>
      <c r="Z1064" s="3">
        <v>554811.45600000001</v>
      </c>
      <c r="AA1064" s="3">
        <v>-554675.91559805349</v>
      </c>
      <c r="AB1064" s="3">
        <v>3600</v>
      </c>
      <c r="AC1064" s="3">
        <v>3600</v>
      </c>
      <c r="AD1064" s="3">
        <v>0</v>
      </c>
      <c r="AE1064" s="3">
        <v>-3600984.5395980533</v>
      </c>
      <c r="AF1064" s="3">
        <v>0</v>
      </c>
      <c r="AG1064" s="3">
        <v>-3600984.5395980533</v>
      </c>
      <c r="AH1064" s="3">
        <v>-3600984.5395980533</v>
      </c>
      <c r="AI1064" s="3">
        <v>14640000</v>
      </c>
      <c r="AJ1064" s="3">
        <v>0</v>
      </c>
    </row>
    <row r="1065" spans="1:36" x14ac:dyDescent="0.2">
      <c r="A1065" s="3" t="s">
        <v>75</v>
      </c>
      <c r="B1065" s="3" t="s">
        <v>83</v>
      </c>
      <c r="C1065" s="3" t="s">
        <v>96</v>
      </c>
      <c r="D1065" s="3">
        <v>3</v>
      </c>
      <c r="E1065" s="3">
        <v>2023</v>
      </c>
      <c r="F1065" s="3">
        <v>1</v>
      </c>
      <c r="G1065" s="3" t="s">
        <v>48</v>
      </c>
      <c r="H1065" s="3" t="s">
        <v>46</v>
      </c>
      <c r="I1065" s="5">
        <v>3829448</v>
      </c>
      <c r="J1065" s="3">
        <v>152739.99999999997</v>
      </c>
      <c r="K1065" s="3">
        <v>3676708</v>
      </c>
      <c r="L1065" s="3">
        <v>2319715.8600000003</v>
      </c>
      <c r="M1065" s="3">
        <v>1356992.1400000001</v>
      </c>
      <c r="N1065" s="3">
        <v>5410631.2960000001</v>
      </c>
      <c r="O1065" s="3">
        <f t="shared" si="17"/>
        <v>147.1596682684619</v>
      </c>
      <c r="P1065" s="3">
        <v>1404423.9719999998</v>
      </c>
      <c r="Q1065" s="3">
        <v>714497.55999999994</v>
      </c>
      <c r="R1065" s="3">
        <v>1660511.3839999996</v>
      </c>
      <c r="S1065" s="3">
        <v>138579.95199999999</v>
      </c>
      <c r="T1065" s="3">
        <v>723840.20799999998</v>
      </c>
      <c r="U1065" s="3">
        <v>91571.76</v>
      </c>
      <c r="V1065" s="3">
        <v>677206.46</v>
      </c>
      <c r="W1065" s="3">
        <v>0</v>
      </c>
      <c r="X1065" s="3">
        <v>-4053639.1559999995</v>
      </c>
      <c r="Y1065" s="3">
        <v>85.481543845868032</v>
      </c>
      <c r="Z1065" s="3">
        <v>713805.56799999997</v>
      </c>
      <c r="AA1065" s="3">
        <v>-713720.08645615412</v>
      </c>
      <c r="AB1065" s="3">
        <v>4899.9999999999991</v>
      </c>
      <c r="AC1065" s="3">
        <v>4899.9999999999991</v>
      </c>
      <c r="AD1065" s="3">
        <v>0</v>
      </c>
      <c r="AE1065" s="3">
        <v>-4767359.242456154</v>
      </c>
      <c r="AF1065" s="3">
        <v>0</v>
      </c>
      <c r="AG1065" s="3">
        <v>-4767359.242456154</v>
      </c>
      <c r="AH1065" s="3">
        <v>-4767359.242456154</v>
      </c>
      <c r="AI1065" s="3">
        <v>7000000</v>
      </c>
      <c r="AJ1065" s="3">
        <v>0</v>
      </c>
    </row>
    <row r="1066" spans="1:36" x14ac:dyDescent="0.2">
      <c r="A1066" s="3" t="s">
        <v>75</v>
      </c>
      <c r="B1066" s="3" t="s">
        <v>83</v>
      </c>
      <c r="C1066" s="3" t="s">
        <v>96</v>
      </c>
      <c r="D1066" s="3">
        <v>2</v>
      </c>
      <c r="E1066" s="3">
        <v>2023</v>
      </c>
      <c r="F1066" s="3">
        <v>1</v>
      </c>
      <c r="G1066" s="3" t="s">
        <v>48</v>
      </c>
      <c r="H1066" s="3" t="s">
        <v>46</v>
      </c>
      <c r="I1066" s="5">
        <v>5939438</v>
      </c>
      <c r="J1066" s="3">
        <v>218772.46</v>
      </c>
      <c r="K1066" s="3">
        <v>5720665.54</v>
      </c>
      <c r="L1066" s="3">
        <v>3502235.344</v>
      </c>
      <c r="M1066" s="3">
        <v>2218430.196</v>
      </c>
      <c r="N1066" s="3">
        <v>3687238.895</v>
      </c>
      <c r="O1066" s="3">
        <f t="shared" si="17"/>
        <v>64.454718934678354</v>
      </c>
      <c r="P1066" s="3">
        <v>953001.98099999991</v>
      </c>
      <c r="Q1066" s="3">
        <v>432143.84699999995</v>
      </c>
      <c r="R1066" s="3">
        <v>1116724.4109999998</v>
      </c>
      <c r="S1066" s="3">
        <v>89405.051000000007</v>
      </c>
      <c r="T1066" s="3">
        <v>360843.72499999998</v>
      </c>
      <c r="U1066" s="3">
        <v>154364.70199999999</v>
      </c>
      <c r="V1066" s="3">
        <v>580755.17799999996</v>
      </c>
      <c r="W1066" s="3">
        <v>0</v>
      </c>
      <c r="X1066" s="3">
        <v>-1468808.6990000003</v>
      </c>
      <c r="Y1066" s="3">
        <v>149.24731446153339</v>
      </c>
      <c r="Z1066" s="3">
        <v>441025.41600000003</v>
      </c>
      <c r="AA1066" s="3">
        <v>-440876.16868553846</v>
      </c>
      <c r="AB1066" s="3">
        <v>0</v>
      </c>
      <c r="AC1066" s="3">
        <v>0</v>
      </c>
      <c r="AD1066" s="3">
        <v>0</v>
      </c>
      <c r="AE1066" s="3">
        <v>-1909684.8676855383</v>
      </c>
      <c r="AF1066" s="3">
        <v>0</v>
      </c>
      <c r="AG1066" s="3">
        <v>-1909684.8676855383</v>
      </c>
      <c r="AH1066" s="3">
        <v>-1909684.8676855383</v>
      </c>
      <c r="AI1066" s="3">
        <v>12350000</v>
      </c>
      <c r="AJ1066" s="3">
        <v>0</v>
      </c>
    </row>
    <row r="1067" spans="1:36" x14ac:dyDescent="0.2">
      <c r="A1067" s="3" t="s">
        <v>75</v>
      </c>
      <c r="B1067" s="3" t="s">
        <v>83</v>
      </c>
      <c r="C1067" s="3" t="s">
        <v>96</v>
      </c>
      <c r="D1067" s="3">
        <v>3</v>
      </c>
      <c r="E1067" s="3">
        <v>2023</v>
      </c>
      <c r="F1067" s="3">
        <v>1</v>
      </c>
      <c r="G1067" s="3" t="s">
        <v>39</v>
      </c>
      <c r="H1067" s="3" t="s">
        <v>46</v>
      </c>
      <c r="I1067" s="5">
        <v>105137388.30949956</v>
      </c>
      <c r="J1067" s="3">
        <v>0</v>
      </c>
      <c r="K1067" s="3">
        <v>105137388.30949956</v>
      </c>
      <c r="L1067" s="3">
        <v>104768624.26376951</v>
      </c>
      <c r="M1067" s="3">
        <v>368764.04573006625</v>
      </c>
      <c r="N1067" s="3">
        <v>439594.53</v>
      </c>
      <c r="O1067" s="3">
        <f t="shared" si="17"/>
        <v>0.41811437117492195</v>
      </c>
      <c r="P1067" s="3">
        <v>81633.33</v>
      </c>
      <c r="Q1067" s="3">
        <v>36831.089999999997</v>
      </c>
      <c r="R1067" s="3">
        <v>196563.75</v>
      </c>
      <c r="S1067" s="3">
        <v>6259.41</v>
      </c>
      <c r="T1067" s="3">
        <v>45174.33</v>
      </c>
      <c r="U1067" s="3">
        <v>36876.39</v>
      </c>
      <c r="V1067" s="3">
        <v>36256.230000000003</v>
      </c>
      <c r="W1067" s="3">
        <v>0</v>
      </c>
      <c r="X1067" s="3">
        <v>-70830.484269933702</v>
      </c>
      <c r="Y1067" s="3">
        <v>0</v>
      </c>
      <c r="Z1067" s="3">
        <v>0</v>
      </c>
      <c r="AA1067" s="3">
        <v>0</v>
      </c>
      <c r="AB1067" s="3">
        <v>900</v>
      </c>
      <c r="AC1067" s="3">
        <v>0</v>
      </c>
      <c r="AD1067" s="3">
        <v>900</v>
      </c>
      <c r="AE1067" s="3">
        <v>-69930.484269933702</v>
      </c>
      <c r="AF1067" s="3">
        <v>0</v>
      </c>
      <c r="AG1067" s="3">
        <v>-69930.484269933702</v>
      </c>
      <c r="AH1067" s="3">
        <v>-69930.484269933702</v>
      </c>
      <c r="AI1067" s="3">
        <v>105137388.30949956</v>
      </c>
      <c r="AJ1067" s="3">
        <v>152666.82145912925</v>
      </c>
    </row>
    <row r="1068" spans="1:36" x14ac:dyDescent="0.2">
      <c r="A1068" s="3" t="s">
        <v>75</v>
      </c>
      <c r="B1068" s="3" t="s">
        <v>83</v>
      </c>
      <c r="C1068" s="3" t="s">
        <v>96</v>
      </c>
      <c r="D1068" s="3">
        <v>1</v>
      </c>
      <c r="E1068" s="3">
        <v>2023</v>
      </c>
      <c r="F1068" s="3">
        <v>1</v>
      </c>
      <c r="G1068" s="3" t="s">
        <v>39</v>
      </c>
      <c r="H1068" s="3" t="s">
        <v>46</v>
      </c>
      <c r="I1068" s="5">
        <v>138024593.37018487</v>
      </c>
      <c r="J1068" s="3">
        <v>0</v>
      </c>
      <c r="K1068" s="3">
        <v>138024593.37018487</v>
      </c>
      <c r="L1068" s="3">
        <v>137774146.38556507</v>
      </c>
      <c r="M1068" s="3">
        <v>250446.98461976051</v>
      </c>
      <c r="N1068" s="3">
        <v>372849.375</v>
      </c>
      <c r="O1068" s="3">
        <f t="shared" si="17"/>
        <v>0.27013256543347325</v>
      </c>
      <c r="P1068" s="3">
        <v>68027.774999999994</v>
      </c>
      <c r="Q1068" s="3">
        <v>26932.15</v>
      </c>
      <c r="R1068" s="3">
        <v>168486.05</v>
      </c>
      <c r="S1068" s="3">
        <v>4229.3249999999998</v>
      </c>
      <c r="T1068" s="3">
        <v>34760.800000000003</v>
      </c>
      <c r="U1068" s="3">
        <v>26977.7</v>
      </c>
      <c r="V1068" s="3">
        <v>43435.574999999997</v>
      </c>
      <c r="W1068" s="3">
        <v>0</v>
      </c>
      <c r="X1068" s="3">
        <v>-122402.39038023949</v>
      </c>
      <c r="Y1068" s="3">
        <v>0</v>
      </c>
      <c r="Z1068" s="3">
        <v>0</v>
      </c>
      <c r="AA1068" s="3">
        <v>0</v>
      </c>
      <c r="AB1068" s="3">
        <v>48250</v>
      </c>
      <c r="AC1068" s="3">
        <v>26670</v>
      </c>
      <c r="AD1068" s="3">
        <v>21580</v>
      </c>
      <c r="AE1068" s="3">
        <v>-100822.39038023949</v>
      </c>
      <c r="AF1068" s="3">
        <v>0</v>
      </c>
      <c r="AG1068" s="3">
        <v>-100822.39038023949</v>
      </c>
      <c r="AH1068" s="3">
        <v>-100822.39038023949</v>
      </c>
      <c r="AI1068" s="3">
        <v>400524593.37018484</v>
      </c>
      <c r="AJ1068" s="3">
        <v>127222.35121594107</v>
      </c>
    </row>
    <row r="1069" spans="1:36" x14ac:dyDescent="0.2">
      <c r="A1069" s="3" t="s">
        <v>75</v>
      </c>
      <c r="B1069" s="3" t="s">
        <v>83</v>
      </c>
      <c r="C1069" s="3" t="s">
        <v>96</v>
      </c>
      <c r="D1069" s="3">
        <v>2</v>
      </c>
      <c r="E1069" s="3">
        <v>2023</v>
      </c>
      <c r="F1069" s="3">
        <v>1</v>
      </c>
      <c r="G1069" s="3" t="s">
        <v>39</v>
      </c>
      <c r="H1069" s="3" t="s">
        <v>46</v>
      </c>
      <c r="I1069" s="5">
        <v>165943463.83537924</v>
      </c>
      <c r="J1069" s="3">
        <v>0</v>
      </c>
      <c r="K1069" s="3">
        <v>165943463.83537924</v>
      </c>
      <c r="L1069" s="3">
        <v>165199496.91224498</v>
      </c>
      <c r="M1069" s="3">
        <v>743966.92313426977</v>
      </c>
      <c r="N1069" s="3">
        <v>477750.63</v>
      </c>
      <c r="O1069" s="3">
        <f t="shared" si="17"/>
        <v>0.28789963699561111</v>
      </c>
      <c r="P1069" s="3">
        <v>81633.33</v>
      </c>
      <c r="Q1069" s="3">
        <v>32318.58</v>
      </c>
      <c r="R1069" s="3">
        <v>210114.11</v>
      </c>
      <c r="S1069" s="3">
        <v>5075.1900000000005</v>
      </c>
      <c r="T1069" s="3">
        <v>34539.06</v>
      </c>
      <c r="U1069" s="3">
        <v>70201.289999999994</v>
      </c>
      <c r="V1069" s="3">
        <v>43874.07</v>
      </c>
      <c r="W1069" s="3">
        <v>0</v>
      </c>
      <c r="X1069" s="3">
        <v>266216.29313426971</v>
      </c>
      <c r="Y1069" s="3">
        <v>0</v>
      </c>
      <c r="Z1069" s="3">
        <v>0</v>
      </c>
      <c r="AA1069" s="3">
        <v>0</v>
      </c>
      <c r="AB1069" s="3">
        <v>40050</v>
      </c>
      <c r="AC1069" s="3">
        <v>22860</v>
      </c>
      <c r="AD1069" s="3">
        <v>17190</v>
      </c>
      <c r="AE1069" s="3">
        <v>283406.29313426971</v>
      </c>
      <c r="AF1069" s="3">
        <v>0</v>
      </c>
      <c r="AG1069" s="3">
        <v>283406.29313426971</v>
      </c>
      <c r="AH1069" s="3">
        <v>283406.29313426971</v>
      </c>
      <c r="AI1069" s="3">
        <v>165943463.83537924</v>
      </c>
      <c r="AJ1069" s="3">
        <v>152666.82145912925</v>
      </c>
    </row>
    <row r="1070" spans="1:36" x14ac:dyDescent="0.2">
      <c r="A1070" s="3" t="s">
        <v>75</v>
      </c>
      <c r="B1070" s="3" t="s">
        <v>83</v>
      </c>
      <c r="C1070" s="3" t="s">
        <v>97</v>
      </c>
      <c r="D1070" s="3">
        <v>1</v>
      </c>
      <c r="E1070" s="3">
        <v>2023</v>
      </c>
      <c r="F1070" s="3">
        <v>1</v>
      </c>
      <c r="G1070" s="3" t="s">
        <v>42</v>
      </c>
      <c r="H1070" s="3" t="s">
        <v>46</v>
      </c>
      <c r="I1070" s="5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428214.00599999999</v>
      </c>
      <c r="O1070" s="3" t="e">
        <f t="shared" si="17"/>
        <v>#DIV/0!</v>
      </c>
      <c r="P1070" s="3">
        <v>108417.26500000001</v>
      </c>
      <c r="Q1070" s="3">
        <v>71913.423999999999</v>
      </c>
      <c r="R1070" s="3">
        <v>148034.46900000001</v>
      </c>
      <c r="S1070" s="3">
        <v>10234.994000000002</v>
      </c>
      <c r="T1070" s="3">
        <v>3581.5120000000002</v>
      </c>
      <c r="U1070" s="3">
        <v>0</v>
      </c>
      <c r="V1070" s="3">
        <v>86032.342000000004</v>
      </c>
      <c r="W1070" s="3">
        <v>0</v>
      </c>
      <c r="X1070" s="3">
        <v>-428214.00599999999</v>
      </c>
      <c r="Y1070" s="3">
        <v>0</v>
      </c>
      <c r="Z1070" s="3">
        <v>8511.6569999999992</v>
      </c>
      <c r="AA1070" s="3">
        <v>-8511.6569999999992</v>
      </c>
      <c r="AB1070" s="3">
        <v>0</v>
      </c>
      <c r="AC1070" s="3">
        <v>0</v>
      </c>
      <c r="AD1070" s="3">
        <v>0</v>
      </c>
      <c r="AE1070" s="3">
        <v>-436725.66300000006</v>
      </c>
      <c r="AF1070" s="3">
        <v>0</v>
      </c>
      <c r="AG1070" s="3">
        <v>-436725.66300000006</v>
      </c>
      <c r="AH1070" s="3">
        <v>-436725.66300000006</v>
      </c>
      <c r="AI1070" s="3">
        <v>242000.00000000003</v>
      </c>
      <c r="AJ1070" s="3">
        <v>0</v>
      </c>
    </row>
    <row r="1071" spans="1:36" x14ac:dyDescent="0.2">
      <c r="A1071" s="3" t="s">
        <v>75</v>
      </c>
      <c r="B1071" s="3" t="s">
        <v>83</v>
      </c>
      <c r="C1071" s="3" t="s">
        <v>97</v>
      </c>
      <c r="D1071" s="3">
        <v>1</v>
      </c>
      <c r="E1071" s="3">
        <v>2023</v>
      </c>
      <c r="F1071" s="3">
        <v>1</v>
      </c>
      <c r="G1071" s="3" t="s">
        <v>42</v>
      </c>
      <c r="H1071" s="3" t="s">
        <v>40</v>
      </c>
      <c r="I1071" s="5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 t="e">
        <f t="shared" si="17"/>
        <v>#DIV/0!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0</v>
      </c>
      <c r="AE1071" s="3">
        <v>0</v>
      </c>
      <c r="AF1071" s="3">
        <v>0</v>
      </c>
      <c r="AG1071" s="3">
        <v>0</v>
      </c>
      <c r="AH1071" s="3">
        <v>0</v>
      </c>
      <c r="AI1071" s="3">
        <v>0</v>
      </c>
      <c r="AJ1071" s="3">
        <v>0</v>
      </c>
    </row>
    <row r="1072" spans="1:36" x14ac:dyDescent="0.2">
      <c r="A1072" s="3" t="s">
        <v>75</v>
      </c>
      <c r="B1072" s="3" t="s">
        <v>83</v>
      </c>
      <c r="C1072" s="3" t="s">
        <v>97</v>
      </c>
      <c r="D1072" s="3">
        <v>1</v>
      </c>
      <c r="E1072" s="3">
        <v>2023</v>
      </c>
      <c r="F1072" s="3">
        <v>1</v>
      </c>
      <c r="G1072" s="3" t="s">
        <v>39</v>
      </c>
      <c r="H1072" s="3" t="s">
        <v>40</v>
      </c>
      <c r="I1072" s="5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 t="e">
        <f t="shared" si="17"/>
        <v>#DIV/0!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  <c r="AJ1072" s="3">
        <v>0</v>
      </c>
    </row>
    <row r="1073" spans="1:36" x14ac:dyDescent="0.2">
      <c r="A1073" s="3" t="s">
        <v>75</v>
      </c>
      <c r="B1073" s="3" t="s">
        <v>83</v>
      </c>
      <c r="C1073" s="3" t="s">
        <v>97</v>
      </c>
      <c r="D1073" s="3">
        <v>2</v>
      </c>
      <c r="E1073" s="3">
        <v>2023</v>
      </c>
      <c r="F1073" s="3">
        <v>1</v>
      </c>
      <c r="G1073" s="3" t="s">
        <v>42</v>
      </c>
      <c r="H1073" s="3" t="s">
        <v>40</v>
      </c>
      <c r="I1073" s="5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 t="e">
        <f t="shared" si="17"/>
        <v>#DIV/0!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0</v>
      </c>
      <c r="AJ1073" s="3">
        <v>0</v>
      </c>
    </row>
    <row r="1074" spans="1:36" x14ac:dyDescent="0.2">
      <c r="A1074" s="3" t="s">
        <v>75</v>
      </c>
      <c r="B1074" s="3" t="s">
        <v>83</v>
      </c>
      <c r="C1074" s="3" t="s">
        <v>97</v>
      </c>
      <c r="D1074" s="3">
        <v>2</v>
      </c>
      <c r="E1074" s="3">
        <v>2023</v>
      </c>
      <c r="F1074" s="3">
        <v>1</v>
      </c>
      <c r="G1074" s="3" t="s">
        <v>39</v>
      </c>
      <c r="H1074" s="3" t="s">
        <v>40</v>
      </c>
      <c r="I1074" s="5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 t="e">
        <f t="shared" si="17"/>
        <v>#DIV/0!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0</v>
      </c>
      <c r="AE1074" s="3">
        <v>0</v>
      </c>
      <c r="AF1074" s="3">
        <v>0</v>
      </c>
      <c r="AG1074" s="3">
        <v>0</v>
      </c>
      <c r="AH1074" s="3">
        <v>0</v>
      </c>
      <c r="AI1074" s="3">
        <v>0</v>
      </c>
      <c r="AJ1074" s="3">
        <v>0</v>
      </c>
    </row>
    <row r="1075" spans="1:36" x14ac:dyDescent="0.2">
      <c r="A1075" s="3" t="s">
        <v>75</v>
      </c>
      <c r="B1075" s="3" t="s">
        <v>83</v>
      </c>
      <c r="C1075" s="3" t="s">
        <v>97</v>
      </c>
      <c r="D1075" s="3">
        <v>3</v>
      </c>
      <c r="E1075" s="3">
        <v>2023</v>
      </c>
      <c r="F1075" s="3">
        <v>1</v>
      </c>
      <c r="G1075" s="3" t="s">
        <v>42</v>
      </c>
      <c r="H1075" s="3" t="s">
        <v>40</v>
      </c>
      <c r="I1075" s="5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 t="e">
        <f t="shared" si="17"/>
        <v>#DIV/0!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3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  <c r="AJ1075" s="3">
        <v>0</v>
      </c>
    </row>
    <row r="1076" spans="1:36" x14ac:dyDescent="0.2">
      <c r="A1076" s="3" t="s">
        <v>75</v>
      </c>
      <c r="B1076" s="3" t="s">
        <v>83</v>
      </c>
      <c r="C1076" s="3" t="s">
        <v>97</v>
      </c>
      <c r="D1076" s="3">
        <v>3</v>
      </c>
      <c r="E1076" s="3">
        <v>2023</v>
      </c>
      <c r="F1076" s="3">
        <v>1</v>
      </c>
      <c r="G1076" s="3" t="s">
        <v>39</v>
      </c>
      <c r="H1076" s="3" t="s">
        <v>40</v>
      </c>
      <c r="I1076" s="5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 t="e">
        <f t="shared" si="17"/>
        <v>#DIV/0!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  <c r="AF1076" s="3">
        <v>0</v>
      </c>
      <c r="AG1076" s="3">
        <v>0</v>
      </c>
      <c r="AH1076" s="3">
        <v>0</v>
      </c>
      <c r="AI1076" s="3">
        <v>0</v>
      </c>
      <c r="AJ1076" s="3">
        <v>0</v>
      </c>
    </row>
    <row r="1077" spans="1:36" x14ac:dyDescent="0.2">
      <c r="A1077" s="3" t="s">
        <v>75</v>
      </c>
      <c r="B1077" s="3" t="s">
        <v>83</v>
      </c>
      <c r="C1077" s="3" t="s">
        <v>97</v>
      </c>
      <c r="D1077" s="3">
        <v>3</v>
      </c>
      <c r="E1077" s="3">
        <v>2023</v>
      </c>
      <c r="F1077" s="3">
        <v>1</v>
      </c>
      <c r="G1077" s="3" t="s">
        <v>42</v>
      </c>
      <c r="H1077" s="3" t="s">
        <v>46</v>
      </c>
      <c r="I1077" s="5">
        <v>73369.999999999985</v>
      </c>
      <c r="J1077" s="3">
        <v>18354</v>
      </c>
      <c r="K1077" s="3">
        <v>55016</v>
      </c>
      <c r="L1077" s="3">
        <v>44022</v>
      </c>
      <c r="M1077" s="3">
        <v>10994</v>
      </c>
      <c r="N1077" s="3">
        <v>633803.20299999998</v>
      </c>
      <c r="O1077" s="3">
        <f t="shared" si="17"/>
        <v>1152.0343227424748</v>
      </c>
      <c r="P1077" s="3">
        <v>226690.64500000002</v>
      </c>
      <c r="Q1077" s="3">
        <v>160050.606</v>
      </c>
      <c r="R1077" s="3">
        <v>125499.86799999999</v>
      </c>
      <c r="S1077" s="3">
        <v>24151.241999999998</v>
      </c>
      <c r="T1077" s="3">
        <v>3225.5200000000004</v>
      </c>
      <c r="U1077" s="3">
        <v>1099.3999999999999</v>
      </c>
      <c r="V1077" s="3">
        <v>93085.921999999991</v>
      </c>
      <c r="W1077" s="3">
        <v>0</v>
      </c>
      <c r="X1077" s="3">
        <v>-622809.20299999998</v>
      </c>
      <c r="Y1077" s="3">
        <v>0</v>
      </c>
      <c r="Z1077" s="3">
        <v>17275.414999999997</v>
      </c>
      <c r="AA1077" s="3">
        <v>-17275.414999999997</v>
      </c>
      <c r="AB1077" s="3">
        <v>0</v>
      </c>
      <c r="AC1077" s="3">
        <v>0</v>
      </c>
      <c r="AD1077" s="3">
        <v>0</v>
      </c>
      <c r="AE1077" s="3">
        <v>-640084.61800000002</v>
      </c>
      <c r="AF1077" s="3">
        <v>0</v>
      </c>
      <c r="AG1077" s="3">
        <v>-640084.61800000002</v>
      </c>
      <c r="AH1077" s="3">
        <v>-640084.61800000002</v>
      </c>
      <c r="AI1077" s="3">
        <v>448500</v>
      </c>
      <c r="AJ1077" s="3">
        <v>0</v>
      </c>
    </row>
    <row r="1078" spans="1:36" x14ac:dyDescent="0.2">
      <c r="A1078" s="3" t="s">
        <v>75</v>
      </c>
      <c r="B1078" s="3" t="s">
        <v>83</v>
      </c>
      <c r="C1078" s="3" t="s">
        <v>97</v>
      </c>
      <c r="D1078" s="3">
        <v>2</v>
      </c>
      <c r="E1078" s="3">
        <v>2023</v>
      </c>
      <c r="F1078" s="3">
        <v>1</v>
      </c>
      <c r="G1078" s="3" t="s">
        <v>42</v>
      </c>
      <c r="H1078" s="3" t="s">
        <v>46</v>
      </c>
      <c r="I1078" s="5">
        <v>191400</v>
      </c>
      <c r="J1078" s="3">
        <v>0</v>
      </c>
      <c r="K1078" s="3">
        <v>191400</v>
      </c>
      <c r="L1078" s="3">
        <v>114840</v>
      </c>
      <c r="M1078" s="3">
        <v>76560.000000000015</v>
      </c>
      <c r="N1078" s="3">
        <v>832635.9360000001</v>
      </c>
      <c r="O1078" s="3">
        <f t="shared" si="17"/>
        <v>435.02400000000006</v>
      </c>
      <c r="P1078" s="3">
        <v>216834.53000000003</v>
      </c>
      <c r="Q1078" s="3">
        <v>143826.848</v>
      </c>
      <c r="R1078" s="3">
        <v>247982.50400000002</v>
      </c>
      <c r="S1078" s="3">
        <v>30039.988000000005</v>
      </c>
      <c r="T1078" s="3">
        <v>54892.376000000004</v>
      </c>
      <c r="U1078" s="3">
        <v>7656.0000000000018</v>
      </c>
      <c r="V1078" s="3">
        <v>131403.69000000003</v>
      </c>
      <c r="W1078" s="3">
        <v>0</v>
      </c>
      <c r="X1078" s="3">
        <v>-756075.9360000001</v>
      </c>
      <c r="Y1078" s="3">
        <v>0</v>
      </c>
      <c r="Z1078" s="3">
        <v>17183.518</v>
      </c>
      <c r="AA1078" s="3">
        <v>-17183.518</v>
      </c>
      <c r="AB1078" s="3">
        <v>0</v>
      </c>
      <c r="AC1078" s="3">
        <v>0</v>
      </c>
      <c r="AD1078" s="3">
        <v>0</v>
      </c>
      <c r="AE1078" s="3">
        <v>-773259.45400000014</v>
      </c>
      <c r="AF1078" s="3">
        <v>0</v>
      </c>
      <c r="AG1078" s="3">
        <v>-773259.45400000014</v>
      </c>
      <c r="AH1078" s="3">
        <v>-773259.45400000014</v>
      </c>
      <c r="AI1078" s="3">
        <v>572000.00000000012</v>
      </c>
      <c r="AJ1078" s="3">
        <v>0</v>
      </c>
    </row>
    <row r="1079" spans="1:36" x14ac:dyDescent="0.2">
      <c r="A1079" s="3" t="s">
        <v>75</v>
      </c>
      <c r="B1079" s="3" t="s">
        <v>83</v>
      </c>
      <c r="C1079" s="3" t="s">
        <v>97</v>
      </c>
      <c r="D1079" s="3">
        <v>1</v>
      </c>
      <c r="E1079" s="3">
        <v>2023</v>
      </c>
      <c r="F1079" s="3">
        <v>1</v>
      </c>
      <c r="G1079" s="3" t="s">
        <v>48</v>
      </c>
      <c r="H1079" s="3" t="s">
        <v>46</v>
      </c>
      <c r="I1079" s="5">
        <v>1717034</v>
      </c>
      <c r="J1079" s="3">
        <v>0</v>
      </c>
      <c r="K1079" s="3">
        <v>1717034</v>
      </c>
      <c r="L1079" s="3">
        <v>1037060.8160000001</v>
      </c>
      <c r="M1079" s="3">
        <v>679973.18400000001</v>
      </c>
      <c r="N1079" s="3">
        <v>4641590.5360000003</v>
      </c>
      <c r="O1079" s="3">
        <f t="shared" si="17"/>
        <v>270.32607018847619</v>
      </c>
      <c r="P1079" s="3">
        <v>1024543.1680000002</v>
      </c>
      <c r="Q1079" s="3">
        <v>737399.27800000005</v>
      </c>
      <c r="R1079" s="3">
        <v>1570277.3460000004</v>
      </c>
      <c r="S1079" s="3">
        <v>104176.424</v>
      </c>
      <c r="T1079" s="3">
        <v>316839.62200000003</v>
      </c>
      <c r="U1079" s="3">
        <v>54612.624000000003</v>
      </c>
      <c r="V1079" s="3">
        <v>833742.07400000002</v>
      </c>
      <c r="W1079" s="3">
        <v>0</v>
      </c>
      <c r="X1079" s="3">
        <v>-3961617.3520000004</v>
      </c>
      <c r="Y1079" s="3">
        <v>63.173919731478783</v>
      </c>
      <c r="Z1079" s="3">
        <v>457430.84200000006</v>
      </c>
      <c r="AA1079" s="3">
        <v>-457367.66808026854</v>
      </c>
      <c r="AB1079" s="3">
        <v>1980.0000000000002</v>
      </c>
      <c r="AC1079" s="3">
        <v>1980.0000000000002</v>
      </c>
      <c r="AD1079" s="3">
        <v>0</v>
      </c>
      <c r="AE1079" s="3">
        <v>-4418985.0200802684</v>
      </c>
      <c r="AF1079" s="3">
        <v>0</v>
      </c>
      <c r="AG1079" s="3">
        <v>-4418985.0200802684</v>
      </c>
      <c r="AH1079" s="3">
        <v>-4418985.0200802684</v>
      </c>
      <c r="AI1079" s="3">
        <v>13420000</v>
      </c>
      <c r="AJ1079" s="3">
        <v>0</v>
      </c>
    </row>
    <row r="1080" spans="1:36" x14ac:dyDescent="0.2">
      <c r="A1080" s="3" t="s">
        <v>75</v>
      </c>
      <c r="B1080" s="3" t="s">
        <v>83</v>
      </c>
      <c r="C1080" s="3" t="s">
        <v>97</v>
      </c>
      <c r="D1080" s="3">
        <v>3</v>
      </c>
      <c r="E1080" s="3">
        <v>2023</v>
      </c>
      <c r="F1080" s="3">
        <v>1</v>
      </c>
      <c r="G1080" s="3" t="s">
        <v>48</v>
      </c>
      <c r="H1080" s="3" t="s">
        <v>46</v>
      </c>
      <c r="I1080" s="5">
        <v>5458536</v>
      </c>
      <c r="J1080" s="3">
        <v>379680</v>
      </c>
      <c r="K1080" s="3">
        <v>5078856</v>
      </c>
      <c r="L1080" s="3">
        <v>3736782.5279999999</v>
      </c>
      <c r="M1080" s="3">
        <v>1342073.4719999998</v>
      </c>
      <c r="N1080" s="3">
        <v>4371230.7359999996</v>
      </c>
      <c r="O1080" s="3">
        <f t="shared" si="17"/>
        <v>86.067231203247346</v>
      </c>
      <c r="P1080" s="3">
        <v>1117683.456</v>
      </c>
      <c r="Q1080" s="3">
        <v>852184.29599999986</v>
      </c>
      <c r="R1080" s="3">
        <v>813406.29599999997</v>
      </c>
      <c r="S1080" s="3">
        <v>148465.992</v>
      </c>
      <c r="T1080" s="3">
        <v>858730.8</v>
      </c>
      <c r="U1080" s="3">
        <v>71110.248000000007</v>
      </c>
      <c r="V1080" s="3">
        <v>509649.64799999993</v>
      </c>
      <c r="W1080" s="3">
        <v>0</v>
      </c>
      <c r="X1080" s="3">
        <v>-3029157.264</v>
      </c>
      <c r="Y1080" s="3">
        <v>84.541766278133593</v>
      </c>
      <c r="Z1080" s="3">
        <v>476513.16</v>
      </c>
      <c r="AA1080" s="3">
        <v>-476428.61823372182</v>
      </c>
      <c r="AB1080" s="3">
        <v>4920</v>
      </c>
      <c r="AC1080" s="3">
        <v>4920</v>
      </c>
      <c r="AD1080" s="3">
        <v>0</v>
      </c>
      <c r="AE1080" s="3">
        <v>-3505585.8822337217</v>
      </c>
      <c r="AF1080" s="3">
        <v>0</v>
      </c>
      <c r="AG1080" s="3">
        <v>-3505585.8822337217</v>
      </c>
      <c r="AH1080" s="3">
        <v>-3505585.8822337217</v>
      </c>
      <c r="AI1080" s="3">
        <v>12240000</v>
      </c>
      <c r="AJ1080" s="3">
        <v>0</v>
      </c>
    </row>
    <row r="1081" spans="1:36" x14ac:dyDescent="0.2">
      <c r="A1081" s="3" t="s">
        <v>75</v>
      </c>
      <c r="B1081" s="3" t="s">
        <v>83</v>
      </c>
      <c r="C1081" s="3" t="s">
        <v>97</v>
      </c>
      <c r="D1081" s="3">
        <v>2</v>
      </c>
      <c r="E1081" s="3">
        <v>2023</v>
      </c>
      <c r="F1081" s="3">
        <v>1</v>
      </c>
      <c r="G1081" s="3" t="s">
        <v>48</v>
      </c>
      <c r="H1081" s="3" t="s">
        <v>46</v>
      </c>
      <c r="I1081" s="5">
        <v>5834080</v>
      </c>
      <c r="J1081" s="3">
        <v>293508.59999999998</v>
      </c>
      <c r="K1081" s="3">
        <v>5540571.4000000004</v>
      </c>
      <c r="L1081" s="3">
        <v>3478906.7319999998</v>
      </c>
      <c r="M1081" s="3">
        <v>2061664.6680000001</v>
      </c>
      <c r="N1081" s="3">
        <v>6032881.1199999992</v>
      </c>
      <c r="O1081" s="3">
        <f t="shared" si="17"/>
        <v>108.88554057799884</v>
      </c>
      <c r="P1081" s="3">
        <v>1303964.0319999999</v>
      </c>
      <c r="Q1081" s="3">
        <v>938508.1719999999</v>
      </c>
      <c r="R1081" s="3">
        <v>1720481.7279999997</v>
      </c>
      <c r="S1081" s="3">
        <v>149819.068</v>
      </c>
      <c r="T1081" s="3">
        <v>914613.36399999983</v>
      </c>
      <c r="U1081" s="3">
        <v>167165.03999999998</v>
      </c>
      <c r="V1081" s="3">
        <v>838329.7159999999</v>
      </c>
      <c r="W1081" s="3">
        <v>0</v>
      </c>
      <c r="X1081" s="3">
        <v>-3971216.4519999996</v>
      </c>
      <c r="Y1081" s="3">
        <v>138.70074234205421</v>
      </c>
      <c r="Z1081" s="3">
        <v>574751.74399999995</v>
      </c>
      <c r="AA1081" s="3">
        <v>-574613.0432576579</v>
      </c>
      <c r="AB1081" s="3">
        <v>33180</v>
      </c>
      <c r="AC1081" s="3">
        <v>33180</v>
      </c>
      <c r="AD1081" s="3">
        <v>0</v>
      </c>
      <c r="AE1081" s="3">
        <v>-4545829.495257657</v>
      </c>
      <c r="AF1081" s="3">
        <v>0</v>
      </c>
      <c r="AG1081" s="3">
        <v>-4545829.495257657</v>
      </c>
      <c r="AH1081" s="3">
        <v>-4545829.495257657</v>
      </c>
      <c r="AI1081" s="3">
        <v>18200000</v>
      </c>
      <c r="AJ1081" s="3">
        <v>0</v>
      </c>
    </row>
    <row r="1082" spans="1:36" x14ac:dyDescent="0.2">
      <c r="A1082" s="3" t="s">
        <v>75</v>
      </c>
      <c r="B1082" s="3" t="s">
        <v>83</v>
      </c>
      <c r="C1082" s="3" t="s">
        <v>97</v>
      </c>
      <c r="D1082" s="3">
        <v>1</v>
      </c>
      <c r="E1082" s="3">
        <v>2023</v>
      </c>
      <c r="F1082" s="3">
        <v>1</v>
      </c>
      <c r="G1082" s="3" t="s">
        <v>39</v>
      </c>
      <c r="H1082" s="3" t="s">
        <v>46</v>
      </c>
      <c r="I1082" s="5">
        <v>37708130.982197031</v>
      </c>
      <c r="J1082" s="3">
        <v>0</v>
      </c>
      <c r="K1082" s="3">
        <v>37708130.982197031</v>
      </c>
      <c r="L1082" s="3">
        <v>37619996.171704121</v>
      </c>
      <c r="M1082" s="3">
        <v>88134.810492911347</v>
      </c>
      <c r="N1082" s="3">
        <v>202491.05500000002</v>
      </c>
      <c r="O1082" s="3">
        <f t="shared" si="17"/>
        <v>0.5369957346748403</v>
      </c>
      <c r="P1082" s="3">
        <v>28829.138000000003</v>
      </c>
      <c r="Q1082" s="3">
        <v>19135.726999999999</v>
      </c>
      <c r="R1082" s="3">
        <v>97917.065999999992</v>
      </c>
      <c r="S1082" s="3">
        <v>2749.0709999999999</v>
      </c>
      <c r="T1082" s="3">
        <v>22025.704999999998</v>
      </c>
      <c r="U1082" s="3">
        <v>8940.8799999999992</v>
      </c>
      <c r="V1082" s="3">
        <v>22893.468000000001</v>
      </c>
      <c r="W1082" s="3">
        <v>0</v>
      </c>
      <c r="X1082" s="3">
        <v>-114356.24450708868</v>
      </c>
      <c r="Y1082" s="3">
        <v>0</v>
      </c>
      <c r="Z1082" s="3">
        <v>0</v>
      </c>
      <c r="AA1082" s="3">
        <v>0</v>
      </c>
      <c r="AB1082" s="3">
        <v>5655</v>
      </c>
      <c r="AC1082" s="3">
        <v>1651</v>
      </c>
      <c r="AD1082" s="3">
        <v>4004</v>
      </c>
      <c r="AE1082" s="3">
        <v>-110352.24450708865</v>
      </c>
      <c r="AF1082" s="3">
        <v>0</v>
      </c>
      <c r="AG1082" s="3">
        <v>-110352.24450708865</v>
      </c>
      <c r="AH1082" s="3">
        <v>-110352.24450708865</v>
      </c>
      <c r="AI1082" s="3">
        <v>142358130.98219705</v>
      </c>
      <c r="AJ1082" s="3">
        <v>72944.555998260053</v>
      </c>
    </row>
    <row r="1083" spans="1:36" x14ac:dyDescent="0.2">
      <c r="A1083" s="3" t="s">
        <v>75</v>
      </c>
      <c r="B1083" s="3" t="s">
        <v>83</v>
      </c>
      <c r="C1083" s="3" t="s">
        <v>97</v>
      </c>
      <c r="D1083" s="3">
        <v>3</v>
      </c>
      <c r="E1083" s="3">
        <v>2023</v>
      </c>
      <c r="F1083" s="3">
        <v>1</v>
      </c>
      <c r="G1083" s="3" t="s">
        <v>39</v>
      </c>
      <c r="H1083" s="3" t="s">
        <v>46</v>
      </c>
      <c r="I1083" s="5">
        <v>38755398.33479505</v>
      </c>
      <c r="J1083" s="3">
        <v>0</v>
      </c>
      <c r="K1083" s="3">
        <v>38755398.33479505</v>
      </c>
      <c r="L1083" s="3">
        <v>38595345.16066131</v>
      </c>
      <c r="M1083" s="3">
        <v>160053.17413374138</v>
      </c>
      <c r="N1083" s="3">
        <v>239557.48199999999</v>
      </c>
      <c r="O1083" s="3">
        <f t="shared" si="17"/>
        <v>0.61812674438420745</v>
      </c>
      <c r="P1083" s="3">
        <v>39917.268000000004</v>
      </c>
      <c r="Q1083" s="3">
        <v>28202.346000000001</v>
      </c>
      <c r="R1083" s="3">
        <v>102208.788</v>
      </c>
      <c r="S1083" s="3">
        <v>3806.4060000000009</v>
      </c>
      <c r="T1083" s="3">
        <v>33027.786</v>
      </c>
      <c r="U1083" s="3">
        <v>16005.311999999998</v>
      </c>
      <c r="V1083" s="3">
        <v>16389.576000000001</v>
      </c>
      <c r="W1083" s="3">
        <v>0</v>
      </c>
      <c r="X1083" s="3">
        <v>-79504.307866258619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-79504.307866258619</v>
      </c>
      <c r="AF1083" s="3">
        <v>0</v>
      </c>
      <c r="AG1083" s="3">
        <v>-79504.307866258619</v>
      </c>
      <c r="AH1083" s="3">
        <v>-79504.307866258619</v>
      </c>
      <c r="AI1083" s="3">
        <v>38755398.33479505</v>
      </c>
      <c r="AJ1083" s="3">
        <v>101000.15445912929</v>
      </c>
    </row>
    <row r="1084" spans="1:36" x14ac:dyDescent="0.2">
      <c r="A1084" s="3" t="s">
        <v>75</v>
      </c>
      <c r="B1084" s="3" t="s">
        <v>83</v>
      </c>
      <c r="C1084" s="3" t="s">
        <v>97</v>
      </c>
      <c r="D1084" s="3">
        <v>2</v>
      </c>
      <c r="E1084" s="3">
        <v>2023</v>
      </c>
      <c r="F1084" s="3">
        <v>1</v>
      </c>
      <c r="G1084" s="3" t="s">
        <v>39</v>
      </c>
      <c r="H1084" s="3" t="s">
        <v>46</v>
      </c>
      <c r="I1084" s="5">
        <v>87422660.512572452</v>
      </c>
      <c r="J1084" s="3">
        <v>0</v>
      </c>
      <c r="K1084" s="3">
        <v>87422660.512572452</v>
      </c>
      <c r="L1084" s="3">
        <v>87067819.20386681</v>
      </c>
      <c r="M1084" s="3">
        <v>354841.30870565318</v>
      </c>
      <c r="N1084" s="3">
        <v>304870.80799999996</v>
      </c>
      <c r="O1084" s="3">
        <f t="shared" si="17"/>
        <v>0.34873201777719381</v>
      </c>
      <c r="P1084" s="3">
        <v>42134.893999999993</v>
      </c>
      <c r="Q1084" s="3">
        <v>27967.600999999999</v>
      </c>
      <c r="R1084" s="3">
        <v>143922.663</v>
      </c>
      <c r="S1084" s="3">
        <v>4017.873</v>
      </c>
      <c r="T1084" s="3">
        <v>33827.182000000001</v>
      </c>
      <c r="U1084" s="3">
        <v>27456.671999999999</v>
      </c>
      <c r="V1084" s="3">
        <v>25543.922999999999</v>
      </c>
      <c r="W1084" s="3">
        <v>0</v>
      </c>
      <c r="X1084" s="3">
        <v>49970.500705653183</v>
      </c>
      <c r="Y1084" s="3">
        <v>0</v>
      </c>
      <c r="Z1084" s="3">
        <v>0</v>
      </c>
      <c r="AA1084" s="3">
        <v>0</v>
      </c>
      <c r="AB1084" s="3">
        <v>18620</v>
      </c>
      <c r="AC1084" s="3">
        <v>4343.3999999999996</v>
      </c>
      <c r="AD1084" s="3">
        <v>14276.6</v>
      </c>
      <c r="AE1084" s="3">
        <v>64247.100705653182</v>
      </c>
      <c r="AF1084" s="3">
        <v>0</v>
      </c>
      <c r="AG1084" s="3">
        <v>64247.100705653182</v>
      </c>
      <c r="AH1084" s="3">
        <v>64247.100705653182</v>
      </c>
      <c r="AI1084" s="3">
        <v>87422660.512572452</v>
      </c>
      <c r="AJ1084" s="3">
        <v>106611.27415130314</v>
      </c>
    </row>
    <row r="1085" spans="1:36" x14ac:dyDescent="0.2">
      <c r="A1085" s="3" t="s">
        <v>75</v>
      </c>
      <c r="B1085" s="3" t="s">
        <v>83</v>
      </c>
      <c r="C1085" s="3" t="s">
        <v>98</v>
      </c>
      <c r="D1085" s="3">
        <v>1</v>
      </c>
      <c r="E1085" s="3">
        <v>2023</v>
      </c>
      <c r="F1085" s="3">
        <v>1</v>
      </c>
      <c r="G1085" s="3" t="s">
        <v>42</v>
      </c>
      <c r="H1085" s="3" t="s">
        <v>46</v>
      </c>
      <c r="I1085" s="5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 t="e">
        <f t="shared" si="17"/>
        <v>#DIV/0!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8.1000000000000014</v>
      </c>
      <c r="AA1085" s="3">
        <v>-8.1000000000000014</v>
      </c>
      <c r="AB1085" s="3">
        <v>0</v>
      </c>
      <c r="AC1085" s="3">
        <v>0</v>
      </c>
      <c r="AD1085" s="3">
        <v>0</v>
      </c>
      <c r="AE1085" s="3">
        <v>-8.1000000000000014</v>
      </c>
      <c r="AF1085" s="3">
        <v>0</v>
      </c>
      <c r="AG1085" s="3">
        <v>-8.1000000000000014</v>
      </c>
      <c r="AH1085" s="3">
        <v>-8.1000000000000014</v>
      </c>
      <c r="AI1085" s="3">
        <v>0</v>
      </c>
      <c r="AJ1085" s="3">
        <v>0</v>
      </c>
    </row>
    <row r="1086" spans="1:36" x14ac:dyDescent="0.2">
      <c r="A1086" s="3" t="s">
        <v>75</v>
      </c>
      <c r="B1086" s="3" t="s">
        <v>83</v>
      </c>
      <c r="C1086" s="3" t="s">
        <v>98</v>
      </c>
      <c r="D1086" s="3">
        <v>1</v>
      </c>
      <c r="E1086" s="3">
        <v>2023</v>
      </c>
      <c r="F1086" s="3">
        <v>1</v>
      </c>
      <c r="G1086" s="3" t="s">
        <v>42</v>
      </c>
      <c r="H1086" s="3" t="s">
        <v>40</v>
      </c>
      <c r="I1086" s="5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 t="e">
        <f t="shared" si="17"/>
        <v>#DIV/0!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0</v>
      </c>
      <c r="AJ1086" s="3">
        <v>0</v>
      </c>
    </row>
    <row r="1087" spans="1:36" x14ac:dyDescent="0.2">
      <c r="A1087" s="3" t="s">
        <v>75</v>
      </c>
      <c r="B1087" s="3" t="s">
        <v>83</v>
      </c>
      <c r="C1087" s="3" t="s">
        <v>98</v>
      </c>
      <c r="D1087" s="3">
        <v>1</v>
      </c>
      <c r="E1087" s="3">
        <v>2023</v>
      </c>
      <c r="F1087" s="3">
        <v>1</v>
      </c>
      <c r="G1087" s="3" t="s">
        <v>39</v>
      </c>
      <c r="H1087" s="3" t="s">
        <v>46</v>
      </c>
      <c r="I1087" s="5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 t="e">
        <f t="shared" si="17"/>
        <v>#DIV/0!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0</v>
      </c>
      <c r="AJ1087" s="3">
        <v>0</v>
      </c>
    </row>
    <row r="1088" spans="1:36" x14ac:dyDescent="0.2">
      <c r="A1088" s="3" t="s">
        <v>75</v>
      </c>
      <c r="B1088" s="3" t="s">
        <v>83</v>
      </c>
      <c r="C1088" s="3" t="s">
        <v>98</v>
      </c>
      <c r="D1088" s="3">
        <v>1</v>
      </c>
      <c r="E1088" s="3">
        <v>2023</v>
      </c>
      <c r="F1088" s="3">
        <v>1</v>
      </c>
      <c r="G1088" s="3" t="s">
        <v>39</v>
      </c>
      <c r="H1088" s="3" t="s">
        <v>40</v>
      </c>
      <c r="I1088" s="5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 t="e">
        <f t="shared" ref="O1088:O1151" si="18">N1088/K1088*100</f>
        <v>#DIV/0!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0</v>
      </c>
      <c r="AJ1088" s="3">
        <v>0</v>
      </c>
    </row>
    <row r="1089" spans="1:36" x14ac:dyDescent="0.2">
      <c r="A1089" s="3" t="s">
        <v>75</v>
      </c>
      <c r="B1089" s="3" t="s">
        <v>83</v>
      </c>
      <c r="C1089" s="3" t="s">
        <v>98</v>
      </c>
      <c r="D1089" s="3">
        <v>2</v>
      </c>
      <c r="E1089" s="3">
        <v>2023</v>
      </c>
      <c r="F1089" s="3">
        <v>1</v>
      </c>
      <c r="G1089" s="3" t="s">
        <v>42</v>
      </c>
      <c r="H1089" s="3" t="s">
        <v>46</v>
      </c>
      <c r="I1089" s="5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 t="e">
        <f t="shared" si="18"/>
        <v>#DIV/0!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7.5</v>
      </c>
      <c r="AA1089" s="3">
        <v>-7.5</v>
      </c>
      <c r="AB1089" s="3">
        <v>0</v>
      </c>
      <c r="AC1089" s="3">
        <v>0</v>
      </c>
      <c r="AD1089" s="3">
        <v>0</v>
      </c>
      <c r="AE1089" s="3">
        <v>-7.5</v>
      </c>
      <c r="AF1089" s="3">
        <v>0</v>
      </c>
      <c r="AG1089" s="3">
        <v>-7.5</v>
      </c>
      <c r="AH1089" s="3">
        <v>-7.5</v>
      </c>
      <c r="AI1089" s="3">
        <v>0</v>
      </c>
      <c r="AJ1089" s="3">
        <v>0</v>
      </c>
    </row>
    <row r="1090" spans="1:36" x14ac:dyDescent="0.2">
      <c r="A1090" s="3" t="s">
        <v>75</v>
      </c>
      <c r="B1090" s="3" t="s">
        <v>83</v>
      </c>
      <c r="C1090" s="3" t="s">
        <v>98</v>
      </c>
      <c r="D1090" s="3">
        <v>2</v>
      </c>
      <c r="E1090" s="3">
        <v>2023</v>
      </c>
      <c r="F1090" s="3">
        <v>1</v>
      </c>
      <c r="G1090" s="3" t="s">
        <v>42</v>
      </c>
      <c r="H1090" s="3" t="s">
        <v>40</v>
      </c>
      <c r="I1090" s="5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 t="e">
        <f t="shared" si="18"/>
        <v>#DIV/0!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  <c r="AJ1090" s="3">
        <v>0</v>
      </c>
    </row>
    <row r="1091" spans="1:36" x14ac:dyDescent="0.2">
      <c r="A1091" s="3" t="s">
        <v>75</v>
      </c>
      <c r="B1091" s="3" t="s">
        <v>83</v>
      </c>
      <c r="C1091" s="3" t="s">
        <v>98</v>
      </c>
      <c r="D1091" s="3">
        <v>2</v>
      </c>
      <c r="E1091" s="3">
        <v>2023</v>
      </c>
      <c r="F1091" s="3">
        <v>1</v>
      </c>
      <c r="G1091" s="3" t="s">
        <v>39</v>
      </c>
      <c r="H1091" s="3" t="s">
        <v>46</v>
      </c>
      <c r="I1091" s="5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 t="e">
        <f t="shared" si="18"/>
        <v>#DIV/0!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0</v>
      </c>
      <c r="AJ1091" s="3">
        <v>0</v>
      </c>
    </row>
    <row r="1092" spans="1:36" x14ac:dyDescent="0.2">
      <c r="A1092" s="3" t="s">
        <v>75</v>
      </c>
      <c r="B1092" s="3" t="s">
        <v>83</v>
      </c>
      <c r="C1092" s="3" t="s">
        <v>98</v>
      </c>
      <c r="D1092" s="3">
        <v>2</v>
      </c>
      <c r="E1092" s="3">
        <v>2023</v>
      </c>
      <c r="F1092" s="3">
        <v>1</v>
      </c>
      <c r="G1092" s="3" t="s">
        <v>39</v>
      </c>
      <c r="H1092" s="3" t="s">
        <v>40</v>
      </c>
      <c r="I1092" s="5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 t="e">
        <f t="shared" si="18"/>
        <v>#DIV/0!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0</v>
      </c>
      <c r="AJ1092" s="3">
        <v>0</v>
      </c>
    </row>
    <row r="1093" spans="1:36" x14ac:dyDescent="0.2">
      <c r="A1093" s="3" t="s">
        <v>75</v>
      </c>
      <c r="B1093" s="3" t="s">
        <v>83</v>
      </c>
      <c r="C1093" s="3" t="s">
        <v>98</v>
      </c>
      <c r="D1093" s="3">
        <v>3</v>
      </c>
      <c r="E1093" s="3">
        <v>2023</v>
      </c>
      <c r="F1093" s="3">
        <v>1</v>
      </c>
      <c r="G1093" s="3" t="s">
        <v>42</v>
      </c>
      <c r="H1093" s="3" t="s">
        <v>46</v>
      </c>
      <c r="I1093" s="5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 t="e">
        <f t="shared" si="18"/>
        <v>#DIV/0!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3.5999999999999996</v>
      </c>
      <c r="AA1093" s="3">
        <v>-3.5999999999999996</v>
      </c>
      <c r="AB1093" s="3">
        <v>0</v>
      </c>
      <c r="AC1093" s="3">
        <v>0</v>
      </c>
      <c r="AD1093" s="3">
        <v>0</v>
      </c>
      <c r="AE1093" s="3">
        <v>-3.5999999999999996</v>
      </c>
      <c r="AF1093" s="3">
        <v>0</v>
      </c>
      <c r="AG1093" s="3">
        <v>-3.5999999999999996</v>
      </c>
      <c r="AH1093" s="3">
        <v>-3.5999999999999996</v>
      </c>
      <c r="AI1093" s="3">
        <v>0</v>
      </c>
      <c r="AJ1093" s="3">
        <v>0</v>
      </c>
    </row>
    <row r="1094" spans="1:36" x14ac:dyDescent="0.2">
      <c r="A1094" s="3" t="s">
        <v>75</v>
      </c>
      <c r="B1094" s="3" t="s">
        <v>83</v>
      </c>
      <c r="C1094" s="3" t="s">
        <v>98</v>
      </c>
      <c r="D1094" s="3">
        <v>3</v>
      </c>
      <c r="E1094" s="3">
        <v>2023</v>
      </c>
      <c r="F1094" s="3">
        <v>1</v>
      </c>
      <c r="G1094" s="3" t="s">
        <v>42</v>
      </c>
      <c r="H1094" s="3" t="s">
        <v>40</v>
      </c>
      <c r="I1094" s="5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 t="e">
        <f t="shared" si="18"/>
        <v>#DIV/0!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s="3">
        <v>0</v>
      </c>
    </row>
    <row r="1095" spans="1:36" x14ac:dyDescent="0.2">
      <c r="A1095" s="3" t="s">
        <v>75</v>
      </c>
      <c r="B1095" s="3" t="s">
        <v>83</v>
      </c>
      <c r="C1095" s="3" t="s">
        <v>98</v>
      </c>
      <c r="D1095" s="3">
        <v>3</v>
      </c>
      <c r="E1095" s="3">
        <v>2023</v>
      </c>
      <c r="F1095" s="3">
        <v>1</v>
      </c>
      <c r="G1095" s="3" t="s">
        <v>48</v>
      </c>
      <c r="H1095" s="3" t="s">
        <v>46</v>
      </c>
      <c r="I1095" s="5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962428.45600000012</v>
      </c>
      <c r="O1095" s="3" t="e">
        <f t="shared" si="18"/>
        <v>#DIV/0!</v>
      </c>
      <c r="P1095" s="3">
        <v>266537.95300000004</v>
      </c>
      <c r="Q1095" s="3">
        <v>198962.42300000001</v>
      </c>
      <c r="R1095" s="3">
        <v>128944.024</v>
      </c>
      <c r="S1095" s="3">
        <v>16825.699000000001</v>
      </c>
      <c r="T1095" s="3">
        <v>140340.83799999999</v>
      </c>
      <c r="U1095" s="3">
        <v>0</v>
      </c>
      <c r="V1095" s="3">
        <v>210817.51900000003</v>
      </c>
      <c r="W1095" s="3">
        <v>0</v>
      </c>
      <c r="X1095" s="3">
        <v>-962428.45600000012</v>
      </c>
      <c r="Y1095" s="3">
        <v>0</v>
      </c>
      <c r="Z1095" s="3">
        <v>35088.118999999999</v>
      </c>
      <c r="AA1095" s="3">
        <v>-35088.118999999999</v>
      </c>
      <c r="AB1095" s="3">
        <v>0</v>
      </c>
      <c r="AC1095" s="3">
        <v>0</v>
      </c>
      <c r="AD1095" s="3">
        <v>0</v>
      </c>
      <c r="AE1095" s="3">
        <v>-997516.57500000019</v>
      </c>
      <c r="AF1095" s="3">
        <v>0</v>
      </c>
      <c r="AG1095" s="3">
        <v>-997516.57500000019</v>
      </c>
      <c r="AH1095" s="3">
        <v>-997516.57500000019</v>
      </c>
      <c r="AI1095" s="3">
        <v>3300000</v>
      </c>
      <c r="AJ1095" s="3">
        <v>0</v>
      </c>
    </row>
    <row r="1096" spans="1:36" x14ac:dyDescent="0.2">
      <c r="A1096" s="3" t="s">
        <v>75</v>
      </c>
      <c r="B1096" s="3" t="s">
        <v>83</v>
      </c>
      <c r="C1096" s="3" t="s">
        <v>98</v>
      </c>
      <c r="D1096" s="3">
        <v>3</v>
      </c>
      <c r="E1096" s="3">
        <v>2023</v>
      </c>
      <c r="F1096" s="3">
        <v>1</v>
      </c>
      <c r="G1096" s="3" t="s">
        <v>39</v>
      </c>
      <c r="H1096" s="3" t="s">
        <v>46</v>
      </c>
      <c r="I1096" s="5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 t="e">
        <f t="shared" si="18"/>
        <v>#DIV/0!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0</v>
      </c>
      <c r="AJ1096" s="3">
        <v>0</v>
      </c>
    </row>
    <row r="1097" spans="1:36" x14ac:dyDescent="0.2">
      <c r="A1097" s="3" t="s">
        <v>75</v>
      </c>
      <c r="B1097" s="3" t="s">
        <v>83</v>
      </c>
      <c r="C1097" s="3" t="s">
        <v>98</v>
      </c>
      <c r="D1097" s="3">
        <v>3</v>
      </c>
      <c r="E1097" s="3">
        <v>2023</v>
      </c>
      <c r="F1097" s="3">
        <v>1</v>
      </c>
      <c r="G1097" s="3" t="s">
        <v>39</v>
      </c>
      <c r="H1097" s="3" t="s">
        <v>40</v>
      </c>
      <c r="I1097" s="5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 t="e">
        <f t="shared" si="18"/>
        <v>#DIV/0!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0</v>
      </c>
      <c r="AJ1097" s="3">
        <v>0</v>
      </c>
    </row>
    <row r="1098" spans="1:36" x14ac:dyDescent="0.2">
      <c r="A1098" s="3" t="s">
        <v>75</v>
      </c>
      <c r="B1098" s="3" t="s">
        <v>83</v>
      </c>
      <c r="C1098" s="3" t="s">
        <v>98</v>
      </c>
      <c r="D1098" s="3">
        <v>1</v>
      </c>
      <c r="E1098" s="3">
        <v>2023</v>
      </c>
      <c r="F1098" s="3">
        <v>1</v>
      </c>
      <c r="G1098" s="3" t="s">
        <v>48</v>
      </c>
      <c r="H1098" s="3" t="s">
        <v>46</v>
      </c>
      <c r="I1098" s="5">
        <v>122220</v>
      </c>
      <c r="J1098" s="3">
        <v>6000</v>
      </c>
      <c r="K1098" s="3">
        <v>116220</v>
      </c>
      <c r="L1098" s="3">
        <v>75753.554999999993</v>
      </c>
      <c r="M1098" s="3">
        <v>40466.445</v>
      </c>
      <c r="N1098" s="3">
        <v>1658819.865</v>
      </c>
      <c r="O1098" s="3">
        <f t="shared" si="18"/>
        <v>1427.3101574599898</v>
      </c>
      <c r="P1098" s="3">
        <v>363460.84499999997</v>
      </c>
      <c r="Q1098" s="3">
        <v>262658.7</v>
      </c>
      <c r="R1098" s="3">
        <v>585637.59</v>
      </c>
      <c r="S1098" s="3">
        <v>23585.805</v>
      </c>
      <c r="T1098" s="3">
        <v>78266.040000000008</v>
      </c>
      <c r="U1098" s="3">
        <v>3798.6750000000002</v>
      </c>
      <c r="V1098" s="3">
        <v>341412.20999999996</v>
      </c>
      <c r="W1098" s="3">
        <v>0</v>
      </c>
      <c r="X1098" s="3">
        <v>-1618353.42</v>
      </c>
      <c r="Y1098" s="3">
        <v>3.7595952434622788</v>
      </c>
      <c r="Z1098" s="3">
        <v>45021.885000000002</v>
      </c>
      <c r="AA1098" s="3">
        <v>-45018.125404756538</v>
      </c>
      <c r="AB1098" s="3">
        <v>0</v>
      </c>
      <c r="AC1098" s="3">
        <v>0</v>
      </c>
      <c r="AD1098" s="3">
        <v>0</v>
      </c>
      <c r="AE1098" s="3">
        <v>-1663371.5454047564</v>
      </c>
      <c r="AF1098" s="3">
        <v>0</v>
      </c>
      <c r="AG1098" s="3">
        <v>-1663371.5454047564</v>
      </c>
      <c r="AH1098" s="3">
        <v>-1663371.5454047564</v>
      </c>
      <c r="AI1098" s="3">
        <v>5100000</v>
      </c>
      <c r="AJ1098" s="3">
        <v>0</v>
      </c>
    </row>
    <row r="1099" spans="1:36" x14ac:dyDescent="0.2">
      <c r="A1099" s="3" t="s">
        <v>75</v>
      </c>
      <c r="B1099" s="3" t="s">
        <v>83</v>
      </c>
      <c r="C1099" s="3" t="s">
        <v>98</v>
      </c>
      <c r="D1099" s="3">
        <v>2</v>
      </c>
      <c r="E1099" s="3">
        <v>2023</v>
      </c>
      <c r="F1099" s="3">
        <v>1</v>
      </c>
      <c r="G1099" s="3" t="s">
        <v>48</v>
      </c>
      <c r="H1099" s="3" t="s">
        <v>46</v>
      </c>
      <c r="I1099" s="5">
        <v>1352526</v>
      </c>
      <c r="J1099" s="3">
        <v>84084</v>
      </c>
      <c r="K1099" s="3">
        <v>1268442</v>
      </c>
      <c r="L1099" s="3">
        <v>749357.80499999993</v>
      </c>
      <c r="M1099" s="3">
        <v>519084.19500000007</v>
      </c>
      <c r="N1099" s="3">
        <v>2555532.6090000002</v>
      </c>
      <c r="O1099" s="3">
        <f t="shared" si="18"/>
        <v>201.47019800668855</v>
      </c>
      <c r="P1099" s="3">
        <v>508845.18300000002</v>
      </c>
      <c r="Q1099" s="3">
        <v>367722.18</v>
      </c>
      <c r="R1099" s="3">
        <v>747759.13799999992</v>
      </c>
      <c r="S1099" s="3">
        <v>40612.635000000002</v>
      </c>
      <c r="T1099" s="3">
        <v>202578.62100000001</v>
      </c>
      <c r="U1099" s="3">
        <v>33244.596000000005</v>
      </c>
      <c r="V1099" s="3">
        <v>654770.25600000005</v>
      </c>
      <c r="W1099" s="3">
        <v>0</v>
      </c>
      <c r="X1099" s="3">
        <v>-2036448.4140000001</v>
      </c>
      <c r="Y1099" s="3">
        <v>34.921956175526617</v>
      </c>
      <c r="Z1099" s="3">
        <v>48555.002999999997</v>
      </c>
      <c r="AA1099" s="3">
        <v>-48520.081043824473</v>
      </c>
      <c r="AB1099" s="3">
        <v>0</v>
      </c>
      <c r="AC1099" s="3">
        <v>0</v>
      </c>
      <c r="AD1099" s="3">
        <v>0</v>
      </c>
      <c r="AE1099" s="3">
        <v>-2084968.4950438244</v>
      </c>
      <c r="AF1099" s="3">
        <v>0</v>
      </c>
      <c r="AG1099" s="3">
        <v>-2084968.4950438244</v>
      </c>
      <c r="AH1099" s="3">
        <v>-2084968.4950438244</v>
      </c>
      <c r="AI1099" s="3">
        <v>7350000</v>
      </c>
      <c r="AJ1099" s="3">
        <v>0</v>
      </c>
    </row>
    <row r="1100" spans="1:36" x14ac:dyDescent="0.2">
      <c r="A1100" s="3" t="s">
        <v>75</v>
      </c>
      <c r="B1100" s="3" t="s">
        <v>83</v>
      </c>
      <c r="C1100" s="3" t="s">
        <v>99</v>
      </c>
      <c r="D1100" s="3">
        <v>1</v>
      </c>
      <c r="E1100" s="3">
        <v>2023</v>
      </c>
      <c r="F1100" s="3">
        <v>1</v>
      </c>
      <c r="G1100" s="3" t="s">
        <v>42</v>
      </c>
      <c r="H1100" s="3" t="s">
        <v>40</v>
      </c>
      <c r="I1100" s="5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 t="e">
        <f t="shared" si="18"/>
        <v>#DIV/0!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0</v>
      </c>
      <c r="AE1100" s="3">
        <v>0</v>
      </c>
      <c r="AF1100" s="3">
        <v>0</v>
      </c>
      <c r="AG1100" s="3">
        <v>0</v>
      </c>
      <c r="AH1100" s="3">
        <v>0</v>
      </c>
      <c r="AI1100" s="3">
        <v>0</v>
      </c>
      <c r="AJ1100" s="3">
        <v>0</v>
      </c>
    </row>
    <row r="1101" spans="1:36" x14ac:dyDescent="0.2">
      <c r="A1101" s="3" t="s">
        <v>75</v>
      </c>
      <c r="B1101" s="3" t="s">
        <v>83</v>
      </c>
      <c r="C1101" s="3" t="s">
        <v>99</v>
      </c>
      <c r="D1101" s="3">
        <v>1</v>
      </c>
      <c r="E1101" s="3">
        <v>2023</v>
      </c>
      <c r="F1101" s="3">
        <v>1</v>
      </c>
      <c r="G1101" s="3" t="s">
        <v>39</v>
      </c>
      <c r="H1101" s="3" t="s">
        <v>40</v>
      </c>
      <c r="I1101" s="5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 t="e">
        <f t="shared" si="18"/>
        <v>#DIV/0!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</row>
    <row r="1102" spans="1:36" x14ac:dyDescent="0.2">
      <c r="A1102" s="3" t="s">
        <v>75</v>
      </c>
      <c r="B1102" s="3" t="s">
        <v>83</v>
      </c>
      <c r="C1102" s="3" t="s">
        <v>99</v>
      </c>
      <c r="D1102" s="3">
        <v>2</v>
      </c>
      <c r="E1102" s="3">
        <v>2023</v>
      </c>
      <c r="F1102" s="3">
        <v>1</v>
      </c>
      <c r="G1102" s="3" t="s">
        <v>42</v>
      </c>
      <c r="H1102" s="3" t="s">
        <v>40</v>
      </c>
      <c r="I1102" s="5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 t="e">
        <f t="shared" si="18"/>
        <v>#DIV/0!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  <c r="AJ1102" s="3">
        <v>0</v>
      </c>
    </row>
    <row r="1103" spans="1:36" x14ac:dyDescent="0.2">
      <c r="A1103" s="3" t="s">
        <v>75</v>
      </c>
      <c r="B1103" s="3" t="s">
        <v>83</v>
      </c>
      <c r="C1103" s="3" t="s">
        <v>99</v>
      </c>
      <c r="D1103" s="3">
        <v>2</v>
      </c>
      <c r="E1103" s="3">
        <v>2023</v>
      </c>
      <c r="F1103" s="3">
        <v>1</v>
      </c>
      <c r="G1103" s="3" t="s">
        <v>39</v>
      </c>
      <c r="H1103" s="3" t="s">
        <v>40</v>
      </c>
      <c r="I1103" s="5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 t="e">
        <f t="shared" si="18"/>
        <v>#DIV/0!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3">
        <v>0</v>
      </c>
      <c r="AE1103" s="3">
        <v>0</v>
      </c>
      <c r="AF1103" s="3">
        <v>0</v>
      </c>
      <c r="AG1103" s="3">
        <v>0</v>
      </c>
      <c r="AH1103" s="3">
        <v>0</v>
      </c>
      <c r="AI1103" s="3">
        <v>0</v>
      </c>
      <c r="AJ1103" s="3">
        <v>0</v>
      </c>
    </row>
    <row r="1104" spans="1:36" x14ac:dyDescent="0.2">
      <c r="A1104" s="3" t="s">
        <v>75</v>
      </c>
      <c r="B1104" s="3" t="s">
        <v>83</v>
      </c>
      <c r="C1104" s="3" t="s">
        <v>99</v>
      </c>
      <c r="D1104" s="3">
        <v>3</v>
      </c>
      <c r="E1104" s="3">
        <v>2023</v>
      </c>
      <c r="F1104" s="3">
        <v>1</v>
      </c>
      <c r="G1104" s="3" t="s">
        <v>42</v>
      </c>
      <c r="H1104" s="3" t="s">
        <v>40</v>
      </c>
      <c r="I1104" s="5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 t="e">
        <f t="shared" si="18"/>
        <v>#DIV/0!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0</v>
      </c>
      <c r="AJ1104" s="3">
        <v>0</v>
      </c>
    </row>
    <row r="1105" spans="1:36" x14ac:dyDescent="0.2">
      <c r="A1105" s="3" t="s">
        <v>75</v>
      </c>
      <c r="B1105" s="3" t="s">
        <v>83</v>
      </c>
      <c r="C1105" s="3" t="s">
        <v>99</v>
      </c>
      <c r="D1105" s="3">
        <v>3</v>
      </c>
      <c r="E1105" s="3">
        <v>2023</v>
      </c>
      <c r="F1105" s="3">
        <v>1</v>
      </c>
      <c r="G1105" s="3" t="s">
        <v>39</v>
      </c>
      <c r="H1105" s="3" t="s">
        <v>40</v>
      </c>
      <c r="I1105" s="5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 t="e">
        <f t="shared" si="18"/>
        <v>#DIV/0!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</v>
      </c>
      <c r="AD1105" s="3">
        <v>0</v>
      </c>
      <c r="AE1105" s="3">
        <v>0</v>
      </c>
      <c r="AF1105" s="3">
        <v>0</v>
      </c>
      <c r="AG1105" s="3">
        <v>0</v>
      </c>
      <c r="AH1105" s="3">
        <v>0</v>
      </c>
      <c r="AI1105" s="3">
        <v>0</v>
      </c>
      <c r="AJ1105" s="3">
        <v>0</v>
      </c>
    </row>
    <row r="1106" spans="1:36" x14ac:dyDescent="0.2">
      <c r="A1106" s="3" t="s">
        <v>75</v>
      </c>
      <c r="B1106" s="3" t="s">
        <v>83</v>
      </c>
      <c r="C1106" s="3" t="s">
        <v>99</v>
      </c>
      <c r="D1106" s="3">
        <v>3</v>
      </c>
      <c r="E1106" s="3">
        <v>2023</v>
      </c>
      <c r="F1106" s="3">
        <v>1</v>
      </c>
      <c r="G1106" s="3" t="s">
        <v>42</v>
      </c>
      <c r="H1106" s="3" t="s">
        <v>46</v>
      </c>
      <c r="I1106" s="5">
        <v>15120</v>
      </c>
      <c r="J1106" s="3">
        <v>3780</v>
      </c>
      <c r="K1106" s="3">
        <v>11340</v>
      </c>
      <c r="L1106" s="3">
        <v>9072</v>
      </c>
      <c r="M1106" s="3">
        <v>2268</v>
      </c>
      <c r="N1106" s="3">
        <v>484626.76500000001</v>
      </c>
      <c r="O1106" s="3">
        <f t="shared" si="18"/>
        <v>4273.604629629629</v>
      </c>
      <c r="P1106" s="3">
        <v>138343.33799999999</v>
      </c>
      <c r="Q1106" s="3">
        <v>99247.490999999995</v>
      </c>
      <c r="R1106" s="3">
        <v>165110.98800000001</v>
      </c>
      <c r="S1106" s="3">
        <v>6488.076</v>
      </c>
      <c r="T1106" s="3">
        <v>890.35800000000006</v>
      </c>
      <c r="U1106" s="3">
        <v>226.8</v>
      </c>
      <c r="V1106" s="3">
        <v>74319.714000000007</v>
      </c>
      <c r="W1106" s="3">
        <v>0</v>
      </c>
      <c r="X1106" s="3">
        <v>-482358.76500000001</v>
      </c>
      <c r="Y1106" s="3">
        <v>0</v>
      </c>
      <c r="Z1106" s="3">
        <v>23525.502</v>
      </c>
      <c r="AA1106" s="3">
        <v>-23525.502</v>
      </c>
      <c r="AB1106" s="3">
        <v>0</v>
      </c>
      <c r="AC1106" s="3">
        <v>0</v>
      </c>
      <c r="AD1106" s="3">
        <v>0</v>
      </c>
      <c r="AE1106" s="3">
        <v>-505884.26700000005</v>
      </c>
      <c r="AF1106" s="3">
        <v>0</v>
      </c>
      <c r="AG1106" s="3">
        <v>-505884.26700000005</v>
      </c>
      <c r="AH1106" s="3">
        <v>-505884.26700000005</v>
      </c>
      <c r="AI1106" s="3">
        <v>462000</v>
      </c>
      <c r="AJ1106" s="3">
        <v>0</v>
      </c>
    </row>
    <row r="1107" spans="1:36" x14ac:dyDescent="0.2">
      <c r="A1107" s="3" t="s">
        <v>75</v>
      </c>
      <c r="B1107" s="3" t="s">
        <v>83</v>
      </c>
      <c r="C1107" s="3" t="s">
        <v>99</v>
      </c>
      <c r="D1107" s="3">
        <v>2</v>
      </c>
      <c r="E1107" s="3">
        <v>2023</v>
      </c>
      <c r="F1107" s="3">
        <v>1</v>
      </c>
      <c r="G1107" s="3" t="s">
        <v>42</v>
      </c>
      <c r="H1107" s="3" t="s">
        <v>46</v>
      </c>
      <c r="I1107" s="5">
        <v>421470</v>
      </c>
      <c r="J1107" s="3">
        <v>74970</v>
      </c>
      <c r="K1107" s="3">
        <v>346500</v>
      </c>
      <c r="L1107" s="3">
        <v>252882</v>
      </c>
      <c r="M1107" s="3">
        <v>93618</v>
      </c>
      <c r="N1107" s="3">
        <v>504750.09899999999</v>
      </c>
      <c r="O1107" s="3">
        <f t="shared" si="18"/>
        <v>145.67102424242424</v>
      </c>
      <c r="P1107" s="3">
        <v>138343.33799999999</v>
      </c>
      <c r="Q1107" s="3">
        <v>93409.154999999999</v>
      </c>
      <c r="R1107" s="3">
        <v>157673.75400000002</v>
      </c>
      <c r="S1107" s="3">
        <v>23246.076000000001</v>
      </c>
      <c r="T1107" s="3">
        <v>3606.7710000000006</v>
      </c>
      <c r="U1107" s="3">
        <v>9361.7999999999993</v>
      </c>
      <c r="V1107" s="3">
        <v>79109.205000000002</v>
      </c>
      <c r="W1107" s="3">
        <v>0</v>
      </c>
      <c r="X1107" s="3">
        <v>-411132.09900000005</v>
      </c>
      <c r="Y1107" s="3">
        <v>0</v>
      </c>
      <c r="Z1107" s="3">
        <v>23365.062000000002</v>
      </c>
      <c r="AA1107" s="3">
        <v>-23365.062000000002</v>
      </c>
      <c r="AB1107" s="3">
        <v>0</v>
      </c>
      <c r="AC1107" s="3">
        <v>0</v>
      </c>
      <c r="AD1107" s="3">
        <v>0</v>
      </c>
      <c r="AE1107" s="3">
        <v>-434497.16100000008</v>
      </c>
      <c r="AF1107" s="3">
        <v>0</v>
      </c>
      <c r="AG1107" s="3">
        <v>-434497.16100000008</v>
      </c>
      <c r="AH1107" s="3">
        <v>-434497.16100000008</v>
      </c>
      <c r="AI1107" s="3">
        <v>546000</v>
      </c>
      <c r="AJ1107" s="3">
        <v>0</v>
      </c>
    </row>
    <row r="1108" spans="1:36" x14ac:dyDescent="0.2">
      <c r="A1108" s="3" t="s">
        <v>75</v>
      </c>
      <c r="B1108" s="3" t="s">
        <v>83</v>
      </c>
      <c r="C1108" s="3" t="s">
        <v>99</v>
      </c>
      <c r="D1108" s="3">
        <v>1</v>
      </c>
      <c r="E1108" s="3">
        <v>2023</v>
      </c>
      <c r="F1108" s="3">
        <v>1</v>
      </c>
      <c r="G1108" s="3" t="s">
        <v>42</v>
      </c>
      <c r="H1108" s="3" t="s">
        <v>46</v>
      </c>
      <c r="I1108" s="5">
        <v>541664</v>
      </c>
      <c r="J1108" s="3">
        <v>0</v>
      </c>
      <c r="K1108" s="3">
        <v>541664</v>
      </c>
      <c r="L1108" s="3">
        <v>324998.40000000002</v>
      </c>
      <c r="M1108" s="3">
        <v>216665.60000000001</v>
      </c>
      <c r="N1108" s="3">
        <v>444329.39199999999</v>
      </c>
      <c r="O1108" s="3">
        <f t="shared" si="18"/>
        <v>82.030445442192942</v>
      </c>
      <c r="P1108" s="3">
        <v>105404.448</v>
      </c>
      <c r="Q1108" s="3">
        <v>71168.88</v>
      </c>
      <c r="R1108" s="3">
        <v>140777.07200000001</v>
      </c>
      <c r="S1108" s="3">
        <v>31594.495999999999</v>
      </c>
      <c r="T1108" s="3">
        <v>2159.5040000000004</v>
      </c>
      <c r="U1108" s="3">
        <v>21666.559999999998</v>
      </c>
      <c r="V1108" s="3">
        <v>71558.432000000001</v>
      </c>
      <c r="W1108" s="3">
        <v>0</v>
      </c>
      <c r="X1108" s="3">
        <v>-227663.79200000002</v>
      </c>
      <c r="Y1108" s="3">
        <v>0</v>
      </c>
      <c r="Z1108" s="3">
        <v>19911.232000000004</v>
      </c>
      <c r="AA1108" s="3">
        <v>-19911.232000000004</v>
      </c>
      <c r="AB1108" s="3">
        <v>0</v>
      </c>
      <c r="AC1108" s="3">
        <v>0</v>
      </c>
      <c r="AD1108" s="3">
        <v>0</v>
      </c>
      <c r="AE1108" s="3">
        <v>-247575.024</v>
      </c>
      <c r="AF1108" s="3">
        <v>0</v>
      </c>
      <c r="AG1108" s="3">
        <v>-247575.024</v>
      </c>
      <c r="AH1108" s="3">
        <v>-247575.024</v>
      </c>
      <c r="AI1108" s="3">
        <v>400000</v>
      </c>
      <c r="AJ1108" s="3">
        <v>0</v>
      </c>
    </row>
    <row r="1109" spans="1:36" x14ac:dyDescent="0.2">
      <c r="A1109" s="3" t="s">
        <v>75</v>
      </c>
      <c r="B1109" s="3" t="s">
        <v>83</v>
      </c>
      <c r="C1109" s="3" t="s">
        <v>99</v>
      </c>
      <c r="D1109" s="3">
        <v>1</v>
      </c>
      <c r="E1109" s="3">
        <v>2023</v>
      </c>
      <c r="F1109" s="3">
        <v>1</v>
      </c>
      <c r="G1109" s="3" t="s">
        <v>48</v>
      </c>
      <c r="H1109" s="3" t="s">
        <v>46</v>
      </c>
      <c r="I1109" s="5">
        <v>3663904.4</v>
      </c>
      <c r="J1109" s="3">
        <v>81232.399999999994</v>
      </c>
      <c r="K1109" s="3">
        <v>3582672</v>
      </c>
      <c r="L1109" s="3">
        <v>2009533.12</v>
      </c>
      <c r="M1109" s="3">
        <v>1573138.8800000001</v>
      </c>
      <c r="N1109" s="3">
        <v>3264695.4879999999</v>
      </c>
      <c r="O1109" s="3">
        <f t="shared" si="18"/>
        <v>91.124598846894159</v>
      </c>
      <c r="P1109" s="3">
        <v>720622.22399999993</v>
      </c>
      <c r="Q1109" s="3">
        <v>512102.592</v>
      </c>
      <c r="R1109" s="3">
        <v>1131908.912</v>
      </c>
      <c r="S1109" s="3">
        <v>52817.68</v>
      </c>
      <c r="T1109" s="3">
        <v>193420.91199999998</v>
      </c>
      <c r="U1109" s="3">
        <v>110072.512</v>
      </c>
      <c r="V1109" s="3">
        <v>543750.65599999996</v>
      </c>
      <c r="W1109" s="3">
        <v>0</v>
      </c>
      <c r="X1109" s="3">
        <v>-1691556.608</v>
      </c>
      <c r="Y1109" s="3">
        <v>146.15480679248145</v>
      </c>
      <c r="Z1109" s="3">
        <v>310705.05599999998</v>
      </c>
      <c r="AA1109" s="3">
        <v>-310558.90119320748</v>
      </c>
      <c r="AB1109" s="3">
        <v>10080</v>
      </c>
      <c r="AC1109" s="3">
        <v>10080</v>
      </c>
      <c r="AD1109" s="3">
        <v>0</v>
      </c>
      <c r="AE1109" s="3">
        <v>-2002115.5091932076</v>
      </c>
      <c r="AF1109" s="3">
        <v>0</v>
      </c>
      <c r="AG1109" s="3">
        <v>-2002115.5091932076</v>
      </c>
      <c r="AH1109" s="3">
        <v>-2002115.5091932076</v>
      </c>
      <c r="AI1109" s="3">
        <v>9280000</v>
      </c>
      <c r="AJ1109" s="3">
        <v>0</v>
      </c>
    </row>
    <row r="1110" spans="1:36" x14ac:dyDescent="0.2">
      <c r="A1110" s="3" t="s">
        <v>75</v>
      </c>
      <c r="B1110" s="3" t="s">
        <v>83</v>
      </c>
      <c r="C1110" s="3" t="s">
        <v>99</v>
      </c>
      <c r="D1110" s="3">
        <v>2</v>
      </c>
      <c r="E1110" s="3">
        <v>2023</v>
      </c>
      <c r="F1110" s="3">
        <v>1</v>
      </c>
      <c r="G1110" s="3" t="s">
        <v>48</v>
      </c>
      <c r="H1110" s="3" t="s">
        <v>46</v>
      </c>
      <c r="I1110" s="5">
        <v>8008384</v>
      </c>
      <c r="J1110" s="3">
        <v>318192</v>
      </c>
      <c r="K1110" s="3">
        <v>7690192</v>
      </c>
      <c r="L1110" s="3">
        <v>4638519.6000000006</v>
      </c>
      <c r="M1110" s="3">
        <v>3051672.4</v>
      </c>
      <c r="N1110" s="3">
        <v>3233044.0959999999</v>
      </c>
      <c r="O1110" s="3">
        <f t="shared" si="18"/>
        <v>42.041136242112032</v>
      </c>
      <c r="P1110" s="3">
        <v>720622.22399999993</v>
      </c>
      <c r="Q1110" s="3">
        <v>512102.592</v>
      </c>
      <c r="R1110" s="3">
        <v>984174.27200000011</v>
      </c>
      <c r="S1110" s="3">
        <v>74079.504000000001</v>
      </c>
      <c r="T1110" s="3">
        <v>358640.28800000006</v>
      </c>
      <c r="U1110" s="3">
        <v>226666.09599999999</v>
      </c>
      <c r="V1110" s="3">
        <v>356759.12</v>
      </c>
      <c r="W1110" s="3">
        <v>0</v>
      </c>
      <c r="X1110" s="3">
        <v>-181371.696</v>
      </c>
      <c r="Y1110" s="3">
        <v>205.30459382386735</v>
      </c>
      <c r="Z1110" s="3">
        <v>289468.304</v>
      </c>
      <c r="AA1110" s="3">
        <v>-289262.99940617615</v>
      </c>
      <c r="AB1110" s="3">
        <v>9200</v>
      </c>
      <c r="AC1110" s="3">
        <v>9200</v>
      </c>
      <c r="AD1110" s="3">
        <v>0</v>
      </c>
      <c r="AE1110" s="3">
        <v>-470634.69540617615</v>
      </c>
      <c r="AF1110" s="3">
        <v>0</v>
      </c>
      <c r="AG1110" s="3">
        <v>-470634.69540617615</v>
      </c>
      <c r="AH1110" s="3">
        <v>-470634.69540617615</v>
      </c>
      <c r="AI1110" s="3">
        <v>10400000</v>
      </c>
      <c r="AJ1110" s="3">
        <v>0</v>
      </c>
    </row>
    <row r="1111" spans="1:36" x14ac:dyDescent="0.2">
      <c r="A1111" s="3" t="s">
        <v>75</v>
      </c>
      <c r="B1111" s="3" t="s">
        <v>83</v>
      </c>
      <c r="C1111" s="3" t="s">
        <v>99</v>
      </c>
      <c r="D1111" s="3">
        <v>3</v>
      </c>
      <c r="E1111" s="3">
        <v>2023</v>
      </c>
      <c r="F1111" s="3">
        <v>1</v>
      </c>
      <c r="G1111" s="3" t="s">
        <v>48</v>
      </c>
      <c r="H1111" s="3" t="s">
        <v>46</v>
      </c>
      <c r="I1111" s="5">
        <v>13520439</v>
      </c>
      <c r="J1111" s="3">
        <v>823419</v>
      </c>
      <c r="K1111" s="3">
        <v>12697020</v>
      </c>
      <c r="L1111" s="3">
        <v>7988750.6310000001</v>
      </c>
      <c r="M1111" s="3">
        <v>4708269.3689999999</v>
      </c>
      <c r="N1111" s="3">
        <v>5462043.4080000017</v>
      </c>
      <c r="O1111" s="3">
        <f t="shared" si="18"/>
        <v>43.018309871135131</v>
      </c>
      <c r="P1111" s="3">
        <v>1216050.003</v>
      </c>
      <c r="Q1111" s="3">
        <v>915492.56400000013</v>
      </c>
      <c r="R1111" s="3">
        <v>1726309.9890000001</v>
      </c>
      <c r="S1111" s="3">
        <v>180149.75100000005</v>
      </c>
      <c r="T1111" s="3">
        <v>416090.22300000006</v>
      </c>
      <c r="U1111" s="3">
        <v>232805.52900000004</v>
      </c>
      <c r="V1111" s="3">
        <v>775145.34899999993</v>
      </c>
      <c r="W1111" s="3">
        <v>0</v>
      </c>
      <c r="X1111" s="3">
        <v>-753774.03900000011</v>
      </c>
      <c r="Y1111" s="3">
        <v>296.58987892467144</v>
      </c>
      <c r="Z1111" s="3">
        <v>445029.44400000008</v>
      </c>
      <c r="AA1111" s="3">
        <v>-444732.85412107536</v>
      </c>
      <c r="AB1111" s="3">
        <v>6651.45</v>
      </c>
      <c r="AC1111" s="3">
        <v>6651.45</v>
      </c>
      <c r="AD1111" s="3">
        <v>0</v>
      </c>
      <c r="AE1111" s="3">
        <v>-1198506.8931210754</v>
      </c>
      <c r="AF1111" s="3">
        <v>0</v>
      </c>
      <c r="AG1111" s="3">
        <v>-1198506.8931210754</v>
      </c>
      <c r="AH1111" s="3">
        <v>-1198506.8931210754</v>
      </c>
      <c r="AI1111" s="3">
        <v>15930000</v>
      </c>
      <c r="AJ1111" s="3">
        <v>0</v>
      </c>
    </row>
    <row r="1112" spans="1:36" x14ac:dyDescent="0.2">
      <c r="A1112" s="3" t="s">
        <v>75</v>
      </c>
      <c r="B1112" s="3" t="s">
        <v>83</v>
      </c>
      <c r="C1112" s="3" t="s">
        <v>99</v>
      </c>
      <c r="D1112" s="3">
        <v>1</v>
      </c>
      <c r="E1112" s="3">
        <v>2023</v>
      </c>
      <c r="F1112" s="3">
        <v>1</v>
      </c>
      <c r="G1112" s="3" t="s">
        <v>39</v>
      </c>
      <c r="H1112" s="3" t="s">
        <v>46</v>
      </c>
      <c r="I1112" s="5">
        <v>77415178.569064409</v>
      </c>
      <c r="J1112" s="3">
        <v>0</v>
      </c>
      <c r="K1112" s="3">
        <v>77415178.569064409</v>
      </c>
      <c r="L1112" s="3">
        <v>77193137.444316328</v>
      </c>
      <c r="M1112" s="3">
        <v>222041.12474807739</v>
      </c>
      <c r="N1112" s="3">
        <v>218027.52000000002</v>
      </c>
      <c r="O1112" s="3">
        <f t="shared" si="18"/>
        <v>0.28163407232276955</v>
      </c>
      <c r="P1112" s="3">
        <v>35566.665000000001</v>
      </c>
      <c r="Q1112" s="3">
        <v>24014.55</v>
      </c>
      <c r="R1112" s="3">
        <v>85948.5</v>
      </c>
      <c r="S1112" s="3">
        <v>1480.2600000000002</v>
      </c>
      <c r="T1112" s="3">
        <v>24649.229999999996</v>
      </c>
      <c r="U1112" s="3">
        <v>22204.11</v>
      </c>
      <c r="V1112" s="3">
        <v>24164.205000000002</v>
      </c>
      <c r="W1112" s="3">
        <v>0</v>
      </c>
      <c r="X1112" s="3">
        <v>4013.6047480773923</v>
      </c>
      <c r="Y1112" s="3">
        <v>0</v>
      </c>
      <c r="Z1112" s="3">
        <v>0</v>
      </c>
      <c r="AA1112" s="3">
        <v>0</v>
      </c>
      <c r="AB1112" s="3">
        <v>900</v>
      </c>
      <c r="AC1112" s="3">
        <v>0</v>
      </c>
      <c r="AD1112" s="3">
        <v>900</v>
      </c>
      <c r="AE1112" s="3">
        <v>4913.6047480773923</v>
      </c>
      <c r="AF1112" s="3">
        <v>0</v>
      </c>
      <c r="AG1112" s="3">
        <v>4913.6047480773923</v>
      </c>
      <c r="AH1112" s="3">
        <v>4913.6047480773923</v>
      </c>
      <c r="AI1112" s="3">
        <v>384915178.56906444</v>
      </c>
      <c r="AJ1112" s="3">
        <v>145716.82364068262</v>
      </c>
    </row>
    <row r="1113" spans="1:36" x14ac:dyDescent="0.2">
      <c r="A1113" s="3" t="s">
        <v>75</v>
      </c>
      <c r="B1113" s="3" t="s">
        <v>83</v>
      </c>
      <c r="C1113" s="3" t="s">
        <v>99</v>
      </c>
      <c r="D1113" s="3">
        <v>2</v>
      </c>
      <c r="E1113" s="3">
        <v>2023</v>
      </c>
      <c r="F1113" s="3">
        <v>1</v>
      </c>
      <c r="G1113" s="3" t="s">
        <v>39</v>
      </c>
      <c r="H1113" s="3" t="s">
        <v>46</v>
      </c>
      <c r="I1113" s="5">
        <v>250958911.43754071</v>
      </c>
      <c r="J1113" s="3">
        <v>0</v>
      </c>
      <c r="K1113" s="3">
        <v>250958911.43754071</v>
      </c>
      <c r="L1113" s="3">
        <v>250361433.4148581</v>
      </c>
      <c r="M1113" s="3">
        <v>597478.02268263244</v>
      </c>
      <c r="N1113" s="3">
        <v>265392.72000000003</v>
      </c>
      <c r="O1113" s="3">
        <f t="shared" si="18"/>
        <v>0.10575146285094229</v>
      </c>
      <c r="P1113" s="3">
        <v>42679.997999999992</v>
      </c>
      <c r="Q1113" s="3">
        <v>28817.46</v>
      </c>
      <c r="R1113" s="3">
        <v>98902.925999999992</v>
      </c>
      <c r="S1113" s="3">
        <v>1776.3120000000001</v>
      </c>
      <c r="T1113" s="3">
        <v>14552.441999999999</v>
      </c>
      <c r="U1113" s="3">
        <v>54237.168000000005</v>
      </c>
      <c r="V1113" s="3">
        <v>24426.414000000001</v>
      </c>
      <c r="W1113" s="3">
        <v>0</v>
      </c>
      <c r="X1113" s="3">
        <v>332085.30268263246</v>
      </c>
      <c r="Y1113" s="3">
        <v>0</v>
      </c>
      <c r="Z1113" s="3">
        <v>0</v>
      </c>
      <c r="AA1113" s="3">
        <v>0</v>
      </c>
      <c r="AB1113" s="3">
        <v>4770</v>
      </c>
      <c r="AC1113" s="3">
        <v>2743.2</v>
      </c>
      <c r="AD1113" s="3">
        <v>2026.8000000000002</v>
      </c>
      <c r="AE1113" s="3">
        <v>334112.10268263245</v>
      </c>
      <c r="AF1113" s="3">
        <v>0</v>
      </c>
      <c r="AG1113" s="3">
        <v>334112.10268263245</v>
      </c>
      <c r="AH1113" s="3">
        <v>334112.10268263245</v>
      </c>
      <c r="AI1113" s="3">
        <v>250958911.43754071</v>
      </c>
      <c r="AJ1113" s="3">
        <v>174860.18836881919</v>
      </c>
    </row>
    <row r="1114" spans="1:36" x14ac:dyDescent="0.2">
      <c r="A1114" s="3" t="s">
        <v>75</v>
      </c>
      <c r="B1114" s="3" t="s">
        <v>83</v>
      </c>
      <c r="C1114" s="3" t="s">
        <v>99</v>
      </c>
      <c r="D1114" s="3">
        <v>3</v>
      </c>
      <c r="E1114" s="3">
        <v>2023</v>
      </c>
      <c r="F1114" s="3">
        <v>1</v>
      </c>
      <c r="G1114" s="3" t="s">
        <v>39</v>
      </c>
      <c r="H1114" s="3" t="s">
        <v>46</v>
      </c>
      <c r="I1114" s="5">
        <v>286472555.06817532</v>
      </c>
      <c r="J1114" s="3">
        <v>0</v>
      </c>
      <c r="K1114" s="3">
        <v>286472555.06817532</v>
      </c>
      <c r="L1114" s="3">
        <v>284906650.45790887</v>
      </c>
      <c r="M1114" s="3">
        <v>1565904.6102664792</v>
      </c>
      <c r="N1114" s="3">
        <v>488120.80799999996</v>
      </c>
      <c r="O1114" s="3">
        <f t="shared" si="18"/>
        <v>0.17039007729164002</v>
      </c>
      <c r="P1114" s="3">
        <v>66391.107999999993</v>
      </c>
      <c r="Q1114" s="3">
        <v>47628.98</v>
      </c>
      <c r="R1114" s="3">
        <v>149466.63199999998</v>
      </c>
      <c r="S1114" s="3">
        <v>2763.1519999999996</v>
      </c>
      <c r="T1114" s="3">
        <v>29607.563999999998</v>
      </c>
      <c r="U1114" s="3">
        <v>156590.448</v>
      </c>
      <c r="V1114" s="3">
        <v>35672.923999999999</v>
      </c>
      <c r="W1114" s="3">
        <v>0</v>
      </c>
      <c r="X1114" s="3">
        <v>1077783.8022664795</v>
      </c>
      <c r="Y1114" s="3">
        <v>0</v>
      </c>
      <c r="Z1114" s="3">
        <v>0</v>
      </c>
      <c r="AA1114" s="3">
        <v>0</v>
      </c>
      <c r="AB1114" s="3">
        <v>9239.9999999999982</v>
      </c>
      <c r="AC1114" s="3">
        <v>0</v>
      </c>
      <c r="AD1114" s="3">
        <v>9239.9999999999982</v>
      </c>
      <c r="AE1114" s="3">
        <v>1087023.8022664795</v>
      </c>
      <c r="AF1114" s="3">
        <v>0</v>
      </c>
      <c r="AG1114" s="3">
        <v>1087023.8022664795</v>
      </c>
      <c r="AH1114" s="3">
        <v>1087023.8022664795</v>
      </c>
      <c r="AI1114" s="3">
        <v>286472555.06817532</v>
      </c>
      <c r="AJ1114" s="3">
        <v>272004.73746260756</v>
      </c>
    </row>
    <row r="1115" spans="1:36" x14ac:dyDescent="0.2">
      <c r="A1115" s="3" t="s">
        <v>75</v>
      </c>
      <c r="B1115" s="3" t="s">
        <v>83</v>
      </c>
      <c r="C1115" s="3" t="s">
        <v>100</v>
      </c>
      <c r="D1115" s="3">
        <v>1</v>
      </c>
      <c r="E1115" s="3">
        <v>2023</v>
      </c>
      <c r="F1115" s="3">
        <v>1</v>
      </c>
      <c r="G1115" s="3" t="s">
        <v>42</v>
      </c>
      <c r="H1115" s="3" t="s">
        <v>40</v>
      </c>
      <c r="I1115" s="5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 t="e">
        <f t="shared" si="18"/>
        <v>#DIV/0!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>
        <v>0</v>
      </c>
      <c r="AD1115" s="3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0</v>
      </c>
      <c r="AJ1115" s="3">
        <v>0</v>
      </c>
    </row>
    <row r="1116" spans="1:36" x14ac:dyDescent="0.2">
      <c r="A1116" s="3" t="s">
        <v>75</v>
      </c>
      <c r="B1116" s="3" t="s">
        <v>83</v>
      </c>
      <c r="C1116" s="3" t="s">
        <v>100</v>
      </c>
      <c r="D1116" s="3">
        <v>1</v>
      </c>
      <c r="E1116" s="3">
        <v>2023</v>
      </c>
      <c r="F1116" s="3">
        <v>1</v>
      </c>
      <c r="G1116" s="3" t="s">
        <v>39</v>
      </c>
      <c r="H1116" s="3" t="s">
        <v>40</v>
      </c>
      <c r="I1116" s="5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 t="e">
        <f t="shared" si="18"/>
        <v>#DIV/0!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</v>
      </c>
      <c r="AD1116" s="3">
        <v>0</v>
      </c>
      <c r="AE1116" s="3">
        <v>0</v>
      </c>
      <c r="AF1116" s="3">
        <v>0</v>
      </c>
      <c r="AG1116" s="3">
        <v>0</v>
      </c>
      <c r="AH1116" s="3">
        <v>0</v>
      </c>
      <c r="AI1116" s="3">
        <v>0</v>
      </c>
      <c r="AJ1116" s="3">
        <v>0</v>
      </c>
    </row>
    <row r="1117" spans="1:36" x14ac:dyDescent="0.2">
      <c r="A1117" s="3" t="s">
        <v>75</v>
      </c>
      <c r="B1117" s="3" t="s">
        <v>83</v>
      </c>
      <c r="C1117" s="3" t="s">
        <v>100</v>
      </c>
      <c r="D1117" s="3">
        <v>2</v>
      </c>
      <c r="E1117" s="3">
        <v>2023</v>
      </c>
      <c r="F1117" s="3">
        <v>1</v>
      </c>
      <c r="G1117" s="3" t="s">
        <v>42</v>
      </c>
      <c r="H1117" s="3" t="s">
        <v>40</v>
      </c>
      <c r="I1117" s="5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 t="e">
        <f t="shared" si="18"/>
        <v>#DIV/0!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</v>
      </c>
      <c r="AD1117" s="3">
        <v>0</v>
      </c>
      <c r="AE1117" s="3">
        <v>0</v>
      </c>
      <c r="AF1117" s="3">
        <v>0</v>
      </c>
      <c r="AG1117" s="3">
        <v>0</v>
      </c>
      <c r="AH1117" s="3">
        <v>0</v>
      </c>
      <c r="AI1117" s="3">
        <v>0</v>
      </c>
      <c r="AJ1117" s="3">
        <v>0</v>
      </c>
    </row>
    <row r="1118" spans="1:36" x14ac:dyDescent="0.2">
      <c r="A1118" s="3" t="s">
        <v>75</v>
      </c>
      <c r="B1118" s="3" t="s">
        <v>83</v>
      </c>
      <c r="C1118" s="3" t="s">
        <v>100</v>
      </c>
      <c r="D1118" s="3">
        <v>2</v>
      </c>
      <c r="E1118" s="3">
        <v>2023</v>
      </c>
      <c r="F1118" s="3">
        <v>1</v>
      </c>
      <c r="G1118" s="3" t="s">
        <v>39</v>
      </c>
      <c r="H1118" s="3" t="s">
        <v>40</v>
      </c>
      <c r="I1118" s="5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 t="e">
        <f t="shared" si="18"/>
        <v>#DIV/0!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s="3">
        <v>0</v>
      </c>
    </row>
    <row r="1119" spans="1:36" x14ac:dyDescent="0.2">
      <c r="A1119" s="3" t="s">
        <v>75</v>
      </c>
      <c r="B1119" s="3" t="s">
        <v>83</v>
      </c>
      <c r="C1119" s="3" t="s">
        <v>100</v>
      </c>
      <c r="D1119" s="3">
        <v>3</v>
      </c>
      <c r="E1119" s="3">
        <v>2023</v>
      </c>
      <c r="F1119" s="3">
        <v>1</v>
      </c>
      <c r="G1119" s="3" t="s">
        <v>42</v>
      </c>
      <c r="H1119" s="3" t="s">
        <v>40</v>
      </c>
      <c r="I1119" s="5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 t="e">
        <f t="shared" si="18"/>
        <v>#DIV/0!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0</v>
      </c>
      <c r="AD1119" s="3">
        <v>0</v>
      </c>
      <c r="AE1119" s="3">
        <v>0</v>
      </c>
      <c r="AF1119" s="3">
        <v>0</v>
      </c>
      <c r="AG1119" s="3">
        <v>0</v>
      </c>
      <c r="AH1119" s="3">
        <v>0</v>
      </c>
      <c r="AI1119" s="3">
        <v>0</v>
      </c>
      <c r="AJ1119" s="3">
        <v>0</v>
      </c>
    </row>
    <row r="1120" spans="1:36" x14ac:dyDescent="0.2">
      <c r="A1120" s="3" t="s">
        <v>75</v>
      </c>
      <c r="B1120" s="3" t="s">
        <v>83</v>
      </c>
      <c r="C1120" s="3" t="s">
        <v>100</v>
      </c>
      <c r="D1120" s="3">
        <v>3</v>
      </c>
      <c r="E1120" s="3">
        <v>2023</v>
      </c>
      <c r="F1120" s="3">
        <v>1</v>
      </c>
      <c r="G1120" s="3" t="s">
        <v>39</v>
      </c>
      <c r="H1120" s="3" t="s">
        <v>40</v>
      </c>
      <c r="I1120" s="5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 t="e">
        <f t="shared" si="18"/>
        <v>#DIV/0!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3">
        <v>0</v>
      </c>
      <c r="AE1120" s="3">
        <v>0</v>
      </c>
      <c r="AF1120" s="3">
        <v>0</v>
      </c>
      <c r="AG1120" s="3">
        <v>0</v>
      </c>
      <c r="AH1120" s="3">
        <v>0</v>
      </c>
      <c r="AI1120" s="3">
        <v>0</v>
      </c>
      <c r="AJ1120" s="3">
        <v>0</v>
      </c>
    </row>
    <row r="1121" spans="1:36" x14ac:dyDescent="0.2">
      <c r="A1121" s="3" t="s">
        <v>75</v>
      </c>
      <c r="B1121" s="3" t="s">
        <v>83</v>
      </c>
      <c r="C1121" s="3" t="s">
        <v>100</v>
      </c>
      <c r="D1121" s="3">
        <v>3</v>
      </c>
      <c r="E1121" s="3">
        <v>2023</v>
      </c>
      <c r="F1121" s="3">
        <v>1</v>
      </c>
      <c r="G1121" s="3" t="s">
        <v>42</v>
      </c>
      <c r="H1121" s="3" t="s">
        <v>46</v>
      </c>
      <c r="I1121" s="5">
        <v>333900</v>
      </c>
      <c r="J1121" s="3">
        <v>60669</v>
      </c>
      <c r="K1121" s="3">
        <v>273231</v>
      </c>
      <c r="L1121" s="3">
        <v>200340</v>
      </c>
      <c r="M1121" s="3">
        <v>72891</v>
      </c>
      <c r="N1121" s="3">
        <v>306703.761</v>
      </c>
      <c r="O1121" s="3">
        <f t="shared" si="18"/>
        <v>112.25071862270386</v>
      </c>
      <c r="P1121" s="3">
        <v>68701.5</v>
      </c>
      <c r="Q1121" s="3">
        <v>51694.251000000004</v>
      </c>
      <c r="R1121" s="3">
        <v>103533.33899999999</v>
      </c>
      <c r="S1121" s="3">
        <v>16622.088</v>
      </c>
      <c r="T1121" s="3">
        <v>428.06400000000002</v>
      </c>
      <c r="U1121" s="3">
        <v>7289.0999999999995</v>
      </c>
      <c r="V1121" s="3">
        <v>58435.419000000002</v>
      </c>
      <c r="W1121" s="3">
        <v>0</v>
      </c>
      <c r="X1121" s="3">
        <v>-233812.76100000003</v>
      </c>
      <c r="Y1121" s="3">
        <v>0</v>
      </c>
      <c r="Z1121" s="3">
        <v>17640.651000000002</v>
      </c>
      <c r="AA1121" s="3">
        <v>-17640.651000000002</v>
      </c>
      <c r="AB1121" s="3">
        <v>0</v>
      </c>
      <c r="AC1121" s="3">
        <v>0</v>
      </c>
      <c r="AD1121" s="3">
        <v>0</v>
      </c>
      <c r="AE1121" s="3">
        <v>-251453.41199999998</v>
      </c>
      <c r="AF1121" s="3">
        <v>0</v>
      </c>
      <c r="AG1121" s="3">
        <v>-251453.41199999998</v>
      </c>
      <c r="AH1121" s="3">
        <v>-251453.41199999998</v>
      </c>
      <c r="AI1121" s="3">
        <v>420000</v>
      </c>
      <c r="AJ1121" s="3">
        <v>0</v>
      </c>
    </row>
    <row r="1122" spans="1:36" x14ac:dyDescent="0.2">
      <c r="A1122" s="3" t="s">
        <v>75</v>
      </c>
      <c r="B1122" s="3" t="s">
        <v>83</v>
      </c>
      <c r="C1122" s="3" t="s">
        <v>100</v>
      </c>
      <c r="D1122" s="3">
        <v>1</v>
      </c>
      <c r="E1122" s="3">
        <v>2023</v>
      </c>
      <c r="F1122" s="3">
        <v>1</v>
      </c>
      <c r="G1122" s="3" t="s">
        <v>42</v>
      </c>
      <c r="H1122" s="3" t="s">
        <v>46</v>
      </c>
      <c r="I1122" s="5">
        <v>400830</v>
      </c>
      <c r="J1122" s="3">
        <v>15433.5</v>
      </c>
      <c r="K1122" s="3">
        <v>385396.5</v>
      </c>
      <c r="L1122" s="3">
        <v>240498</v>
      </c>
      <c r="M1122" s="3">
        <v>144898.5</v>
      </c>
      <c r="N1122" s="3">
        <v>450840.66</v>
      </c>
      <c r="O1122" s="3">
        <f t="shared" si="18"/>
        <v>116.98099489746274</v>
      </c>
      <c r="P1122" s="3">
        <v>98145</v>
      </c>
      <c r="Q1122" s="3">
        <v>71265.39</v>
      </c>
      <c r="R1122" s="3">
        <v>157018.16999999998</v>
      </c>
      <c r="S1122" s="3">
        <v>23499.18</v>
      </c>
      <c r="T1122" s="3">
        <v>1539.72</v>
      </c>
      <c r="U1122" s="3">
        <v>14489.849999999999</v>
      </c>
      <c r="V1122" s="3">
        <v>84883.349999999991</v>
      </c>
      <c r="W1122" s="3">
        <v>0</v>
      </c>
      <c r="X1122" s="3">
        <v>-305942.16000000003</v>
      </c>
      <c r="Y1122" s="3">
        <v>0</v>
      </c>
      <c r="Z1122" s="3">
        <v>27081.93</v>
      </c>
      <c r="AA1122" s="3">
        <v>-27081.93</v>
      </c>
      <c r="AB1122" s="3">
        <v>0</v>
      </c>
      <c r="AC1122" s="3">
        <v>0</v>
      </c>
      <c r="AD1122" s="3">
        <v>0</v>
      </c>
      <c r="AE1122" s="3">
        <v>-333024.08999999997</v>
      </c>
      <c r="AF1122" s="3">
        <v>0</v>
      </c>
      <c r="AG1122" s="3">
        <v>-333024.08999999997</v>
      </c>
      <c r="AH1122" s="3">
        <v>-333024.08999999997</v>
      </c>
      <c r="AI1122" s="3">
        <v>480000</v>
      </c>
      <c r="AJ1122" s="3">
        <v>0</v>
      </c>
    </row>
    <row r="1123" spans="1:36" x14ac:dyDescent="0.2">
      <c r="A1123" s="3" t="s">
        <v>75</v>
      </c>
      <c r="B1123" s="3" t="s">
        <v>83</v>
      </c>
      <c r="C1123" s="3" t="s">
        <v>100</v>
      </c>
      <c r="D1123" s="3">
        <v>2</v>
      </c>
      <c r="E1123" s="3">
        <v>2023</v>
      </c>
      <c r="F1123" s="3">
        <v>1</v>
      </c>
      <c r="G1123" s="3" t="s">
        <v>42</v>
      </c>
      <c r="H1123" s="3" t="s">
        <v>46</v>
      </c>
      <c r="I1123" s="5">
        <v>973294</v>
      </c>
      <c r="J1123" s="3">
        <v>153630.39999999997</v>
      </c>
      <c r="K1123" s="3">
        <v>819663.6</v>
      </c>
      <c r="L1123" s="3">
        <v>585096.4</v>
      </c>
      <c r="M1123" s="3">
        <v>234567.2</v>
      </c>
      <c r="N1123" s="3">
        <v>270022.18599999999</v>
      </c>
      <c r="O1123" s="3">
        <f t="shared" si="18"/>
        <v>32.943049563259855</v>
      </c>
      <c r="P1123" s="3">
        <v>45801</v>
      </c>
      <c r="Q1123" s="3">
        <v>33257.182000000001</v>
      </c>
      <c r="R1123" s="3">
        <v>64723.903999999995</v>
      </c>
      <c r="S1123" s="3">
        <v>42956.872000000003</v>
      </c>
      <c r="T1123" s="3">
        <v>26829.375999999997</v>
      </c>
      <c r="U1123" s="3">
        <v>23456.720000000001</v>
      </c>
      <c r="V1123" s="3">
        <v>32997.131999999998</v>
      </c>
      <c r="W1123" s="3">
        <v>0</v>
      </c>
      <c r="X1123" s="3">
        <v>-35454.985999999997</v>
      </c>
      <c r="Y1123" s="3">
        <v>0</v>
      </c>
      <c r="Z1123" s="3">
        <v>13038.227999999999</v>
      </c>
      <c r="AA1123" s="3">
        <v>-13038.227999999999</v>
      </c>
      <c r="AB1123" s="3">
        <v>0</v>
      </c>
      <c r="AC1123" s="3">
        <v>0</v>
      </c>
      <c r="AD1123" s="3">
        <v>0</v>
      </c>
      <c r="AE1123" s="3">
        <v>-48493.214</v>
      </c>
      <c r="AF1123" s="3">
        <v>0</v>
      </c>
      <c r="AG1123" s="3">
        <v>-48493.214</v>
      </c>
      <c r="AH1123" s="3">
        <v>-48493.214</v>
      </c>
      <c r="AI1123" s="3">
        <v>307999.99999999994</v>
      </c>
      <c r="AJ1123" s="3">
        <v>0</v>
      </c>
    </row>
    <row r="1124" spans="1:36" x14ac:dyDescent="0.2">
      <c r="A1124" s="3" t="s">
        <v>75</v>
      </c>
      <c r="B1124" s="3" t="s">
        <v>83</v>
      </c>
      <c r="C1124" s="3" t="s">
        <v>100</v>
      </c>
      <c r="D1124" s="3">
        <v>1</v>
      </c>
      <c r="E1124" s="3">
        <v>2023</v>
      </c>
      <c r="F1124" s="3">
        <v>1</v>
      </c>
      <c r="G1124" s="3" t="s">
        <v>48</v>
      </c>
      <c r="H1124" s="3" t="s">
        <v>46</v>
      </c>
      <c r="I1124" s="5">
        <v>3215101</v>
      </c>
      <c r="J1124" s="3">
        <v>180113</v>
      </c>
      <c r="K1124" s="3">
        <v>3034988</v>
      </c>
      <c r="L1124" s="3">
        <v>1819715.2189999996</v>
      </c>
      <c r="M1124" s="3">
        <v>1215272.781</v>
      </c>
      <c r="N1124" s="3">
        <v>3814478.8150000004</v>
      </c>
      <c r="O1124" s="3">
        <f t="shared" si="18"/>
        <v>125.68348919336749</v>
      </c>
      <c r="P1124" s="3">
        <v>790429.5</v>
      </c>
      <c r="Q1124" s="3">
        <v>579852.81599999999</v>
      </c>
      <c r="R1124" s="3">
        <v>1479792.0089999996</v>
      </c>
      <c r="S1124" s="3">
        <v>46341.825999999994</v>
      </c>
      <c r="T1124" s="3">
        <v>134057.15599999999</v>
      </c>
      <c r="U1124" s="3">
        <v>87659.670000000013</v>
      </c>
      <c r="V1124" s="3">
        <v>696345.83799999999</v>
      </c>
      <c r="W1124" s="3">
        <v>0</v>
      </c>
      <c r="X1124" s="3">
        <v>-2599206.0339999995</v>
      </c>
      <c r="Y1124" s="3">
        <v>112.90672474334663</v>
      </c>
      <c r="Z1124" s="3">
        <v>438221.16199999995</v>
      </c>
      <c r="AA1124" s="3">
        <v>-438108.2552752567</v>
      </c>
      <c r="AB1124" s="3">
        <v>5520</v>
      </c>
      <c r="AC1124" s="3">
        <v>5520</v>
      </c>
      <c r="AD1124" s="3">
        <v>0</v>
      </c>
      <c r="AE1124" s="3">
        <v>-3037314.2892752565</v>
      </c>
      <c r="AF1124" s="3">
        <v>0</v>
      </c>
      <c r="AG1124" s="3">
        <v>-3037314.2892752565</v>
      </c>
      <c r="AH1124" s="3">
        <v>-3037314.2892752565</v>
      </c>
      <c r="AI1124" s="3">
        <v>11960000</v>
      </c>
      <c r="AJ1124" s="3">
        <v>0</v>
      </c>
    </row>
    <row r="1125" spans="1:36" x14ac:dyDescent="0.2">
      <c r="A1125" s="3" t="s">
        <v>75</v>
      </c>
      <c r="B1125" s="3" t="s">
        <v>83</v>
      </c>
      <c r="C1125" s="3" t="s">
        <v>100</v>
      </c>
      <c r="D1125" s="3">
        <v>3</v>
      </c>
      <c r="E1125" s="3">
        <v>2023</v>
      </c>
      <c r="F1125" s="3">
        <v>1</v>
      </c>
      <c r="G1125" s="3" t="s">
        <v>48</v>
      </c>
      <c r="H1125" s="3" t="s">
        <v>46</v>
      </c>
      <c r="I1125" s="5">
        <v>5439126</v>
      </c>
      <c r="J1125" s="3">
        <v>383649</v>
      </c>
      <c r="K1125" s="3">
        <v>5055477</v>
      </c>
      <c r="L1125" s="3">
        <v>3213296.9190000002</v>
      </c>
      <c r="M1125" s="3">
        <v>1842180.081</v>
      </c>
      <c r="N1125" s="3">
        <v>4043337.4590000003</v>
      </c>
      <c r="O1125" s="3">
        <f t="shared" si="18"/>
        <v>79.979346340612381</v>
      </c>
      <c r="P1125" s="3">
        <v>721696.5</v>
      </c>
      <c r="Q1125" s="3">
        <v>548428.48199999996</v>
      </c>
      <c r="R1125" s="3">
        <v>1292043.4380000001</v>
      </c>
      <c r="S1125" s="3">
        <v>86742.159000000014</v>
      </c>
      <c r="T1125" s="3">
        <v>616482.15300000005</v>
      </c>
      <c r="U1125" s="3">
        <v>108476.088</v>
      </c>
      <c r="V1125" s="3">
        <v>669468.63900000008</v>
      </c>
      <c r="W1125" s="3">
        <v>0</v>
      </c>
      <c r="X1125" s="3">
        <v>-2201157.378</v>
      </c>
      <c r="Y1125" s="3">
        <v>116.04518016293463</v>
      </c>
      <c r="Z1125" s="3">
        <v>368272.65300000005</v>
      </c>
      <c r="AA1125" s="3">
        <v>-368156.60781983705</v>
      </c>
      <c r="AB1125" s="3">
        <v>8085</v>
      </c>
      <c r="AC1125" s="3">
        <v>8085</v>
      </c>
      <c r="AD1125" s="3">
        <v>0</v>
      </c>
      <c r="AE1125" s="3">
        <v>-2569313.9858198371</v>
      </c>
      <c r="AF1125" s="3">
        <v>0</v>
      </c>
      <c r="AG1125" s="3">
        <v>-2569313.9858198371</v>
      </c>
      <c r="AH1125" s="3">
        <v>-2569313.9858198371</v>
      </c>
      <c r="AI1125" s="3">
        <v>9240000</v>
      </c>
      <c r="AJ1125" s="3">
        <v>0</v>
      </c>
    </row>
    <row r="1126" spans="1:36" x14ac:dyDescent="0.2">
      <c r="A1126" s="3" t="s">
        <v>75</v>
      </c>
      <c r="B1126" s="3" t="s">
        <v>83</v>
      </c>
      <c r="C1126" s="3" t="s">
        <v>100</v>
      </c>
      <c r="D1126" s="3">
        <v>2</v>
      </c>
      <c r="E1126" s="3">
        <v>2023</v>
      </c>
      <c r="F1126" s="3">
        <v>1</v>
      </c>
      <c r="G1126" s="3" t="s">
        <v>48</v>
      </c>
      <c r="H1126" s="3" t="s">
        <v>46</v>
      </c>
      <c r="I1126" s="5">
        <v>11434098</v>
      </c>
      <c r="J1126" s="3">
        <v>547534</v>
      </c>
      <c r="K1126" s="3">
        <v>10886564</v>
      </c>
      <c r="L1126" s="3">
        <v>7339602.8680000007</v>
      </c>
      <c r="M1126" s="3">
        <v>3546961.1319999998</v>
      </c>
      <c r="N1126" s="3">
        <v>4754794.9800000004</v>
      </c>
      <c r="O1126" s="3">
        <f t="shared" si="18"/>
        <v>43.675809741255371</v>
      </c>
      <c r="P1126" s="3">
        <v>893529</v>
      </c>
      <c r="Q1126" s="3">
        <v>655485.79200000013</v>
      </c>
      <c r="R1126" s="3">
        <v>1536824.952</v>
      </c>
      <c r="S1126" s="3">
        <v>88628.565999999992</v>
      </c>
      <c r="T1126" s="3">
        <v>598474.86400000006</v>
      </c>
      <c r="U1126" s="3">
        <v>229729.00599999999</v>
      </c>
      <c r="V1126" s="3">
        <v>752122.8</v>
      </c>
      <c r="W1126" s="3">
        <v>0</v>
      </c>
      <c r="X1126" s="3">
        <v>-1207833.848</v>
      </c>
      <c r="Y1126" s="3">
        <v>238.62510700719042</v>
      </c>
      <c r="Z1126" s="3">
        <v>444615.73</v>
      </c>
      <c r="AA1126" s="3">
        <v>-444377.10489299271</v>
      </c>
      <c r="AB1126" s="3">
        <v>16900</v>
      </c>
      <c r="AC1126" s="3">
        <v>16900</v>
      </c>
      <c r="AD1126" s="3">
        <v>0</v>
      </c>
      <c r="AE1126" s="3">
        <v>-1652210.9528929929</v>
      </c>
      <c r="AF1126" s="3">
        <v>0</v>
      </c>
      <c r="AG1126" s="3">
        <v>-1652210.9528929929</v>
      </c>
      <c r="AH1126" s="3">
        <v>-1652210.9528929929</v>
      </c>
      <c r="AI1126" s="3">
        <v>14560000</v>
      </c>
      <c r="AJ1126" s="3">
        <v>0</v>
      </c>
    </row>
    <row r="1127" spans="1:36" x14ac:dyDescent="0.2">
      <c r="A1127" s="3" t="s">
        <v>75</v>
      </c>
      <c r="B1127" s="3" t="s">
        <v>83</v>
      </c>
      <c r="C1127" s="3" t="s">
        <v>100</v>
      </c>
      <c r="D1127" s="3">
        <v>2</v>
      </c>
      <c r="E1127" s="3">
        <v>2023</v>
      </c>
      <c r="F1127" s="3">
        <v>1</v>
      </c>
      <c r="G1127" s="3" t="s">
        <v>39</v>
      </c>
      <c r="H1127" s="3" t="s">
        <v>46</v>
      </c>
      <c r="I1127" s="5">
        <v>83433225.156242147</v>
      </c>
      <c r="J1127" s="3">
        <v>0</v>
      </c>
      <c r="K1127" s="3">
        <v>83433225.156242147</v>
      </c>
      <c r="L1127" s="3">
        <v>83187782.425523236</v>
      </c>
      <c r="M1127" s="3">
        <v>245442.73071890831</v>
      </c>
      <c r="N1127" s="3">
        <v>168794.62</v>
      </c>
      <c r="O1127" s="3">
        <f t="shared" si="18"/>
        <v>0.20231103338496731</v>
      </c>
      <c r="P1127" s="3">
        <v>24525</v>
      </c>
      <c r="Q1127" s="3">
        <v>17808.189999999999</v>
      </c>
      <c r="R1127" s="3">
        <v>65291.89</v>
      </c>
      <c r="S1127" s="3">
        <v>1057.33</v>
      </c>
      <c r="T1127" s="3">
        <v>20519.72</v>
      </c>
      <c r="U1127" s="3">
        <v>21912.68</v>
      </c>
      <c r="V1127" s="3">
        <v>17679.810000000001</v>
      </c>
      <c r="W1127" s="3">
        <v>0</v>
      </c>
      <c r="X1127" s="3">
        <v>76648.110718908312</v>
      </c>
      <c r="Y1127" s="3">
        <v>0</v>
      </c>
      <c r="Z1127" s="3">
        <v>0</v>
      </c>
      <c r="AA1127" s="3">
        <v>0</v>
      </c>
      <c r="AB1127" s="3">
        <v>3250</v>
      </c>
      <c r="AC1127" s="3">
        <v>1711.13</v>
      </c>
      <c r="AD1127" s="3">
        <v>1538.87</v>
      </c>
      <c r="AE1127" s="3">
        <v>78186.980718908308</v>
      </c>
      <c r="AF1127" s="3">
        <v>0</v>
      </c>
      <c r="AG1127" s="3">
        <v>78186.980718908308</v>
      </c>
      <c r="AH1127" s="3">
        <v>78186.980718908308</v>
      </c>
      <c r="AI1127" s="3">
        <v>83433225.156242147</v>
      </c>
      <c r="AJ1127" s="3">
        <v>63273.307286435243</v>
      </c>
    </row>
    <row r="1128" spans="1:36" x14ac:dyDescent="0.2">
      <c r="A1128" s="3" t="s">
        <v>75</v>
      </c>
      <c r="B1128" s="3" t="s">
        <v>83</v>
      </c>
      <c r="C1128" s="3" t="s">
        <v>100</v>
      </c>
      <c r="D1128" s="3">
        <v>1</v>
      </c>
      <c r="E1128" s="3">
        <v>2023</v>
      </c>
      <c r="F1128" s="3">
        <v>1</v>
      </c>
      <c r="G1128" s="3" t="s">
        <v>39</v>
      </c>
      <c r="H1128" s="3" t="s">
        <v>46</v>
      </c>
      <c r="I1128" s="5">
        <v>138786009.40267816</v>
      </c>
      <c r="J1128" s="3">
        <v>0</v>
      </c>
      <c r="K1128" s="3">
        <v>138786009.40267816</v>
      </c>
      <c r="L1128" s="3">
        <v>138469505.04768303</v>
      </c>
      <c r="M1128" s="3">
        <v>316504.35499513242</v>
      </c>
      <c r="N1128" s="3">
        <v>397869.55000000005</v>
      </c>
      <c r="O1128" s="3">
        <f t="shared" si="18"/>
        <v>0.28667842797151738</v>
      </c>
      <c r="P1128" s="3">
        <v>63765</v>
      </c>
      <c r="Q1128" s="3">
        <v>46301.294000000009</v>
      </c>
      <c r="R1128" s="3">
        <v>172831.20400000003</v>
      </c>
      <c r="S1128" s="3">
        <v>2749.058</v>
      </c>
      <c r="T1128" s="3">
        <v>25287.678</v>
      </c>
      <c r="U1128" s="3">
        <v>31752.343999999997</v>
      </c>
      <c r="V1128" s="3">
        <v>55182.972000000002</v>
      </c>
      <c r="W1128" s="3">
        <v>0</v>
      </c>
      <c r="X1128" s="3">
        <v>-81365.19500486755</v>
      </c>
      <c r="Y1128" s="3">
        <v>0</v>
      </c>
      <c r="Z1128" s="3">
        <v>0</v>
      </c>
      <c r="AA1128" s="3">
        <v>0</v>
      </c>
      <c r="AB1128" s="3">
        <v>13000</v>
      </c>
      <c r="AC1128" s="3">
        <v>1320.8000000000002</v>
      </c>
      <c r="AD1128" s="3">
        <v>11679.2</v>
      </c>
      <c r="AE1128" s="3">
        <v>-69685.995004867553</v>
      </c>
      <c r="AF1128" s="3">
        <v>0</v>
      </c>
      <c r="AG1128" s="3">
        <v>-69685.995004867553</v>
      </c>
      <c r="AH1128" s="3">
        <v>-69685.995004867553</v>
      </c>
      <c r="AI1128" s="3">
        <v>312986009.40267819</v>
      </c>
      <c r="AJ1128" s="3">
        <v>164510.59894473164</v>
      </c>
    </row>
    <row r="1129" spans="1:36" x14ac:dyDescent="0.2">
      <c r="A1129" s="3" t="s">
        <v>75</v>
      </c>
      <c r="B1129" s="3" t="s">
        <v>83</v>
      </c>
      <c r="C1129" s="3" t="s">
        <v>100</v>
      </c>
      <c r="D1129" s="3">
        <v>3</v>
      </c>
      <c r="E1129" s="3">
        <v>2023</v>
      </c>
      <c r="F1129" s="3">
        <v>1</v>
      </c>
      <c r="G1129" s="3" t="s">
        <v>39</v>
      </c>
      <c r="H1129" s="3" t="s">
        <v>46</v>
      </c>
      <c r="I1129" s="5">
        <v>142213397.69512954</v>
      </c>
      <c r="J1129" s="3">
        <v>0</v>
      </c>
      <c r="K1129" s="3">
        <v>142213397.69512954</v>
      </c>
      <c r="L1129" s="3">
        <v>141634725.49533102</v>
      </c>
      <c r="M1129" s="3">
        <v>578672.19979852671</v>
      </c>
      <c r="N1129" s="3">
        <v>396116.67199999996</v>
      </c>
      <c r="O1129" s="3">
        <f t="shared" si="18"/>
        <v>0.27853681750096176</v>
      </c>
      <c r="P1129" s="3">
        <v>56407.5</v>
      </c>
      <c r="Q1129" s="3">
        <v>42443.693999999996</v>
      </c>
      <c r="R1129" s="3">
        <v>147474.13699999999</v>
      </c>
      <c r="S1129" s="3">
        <v>2431.8589999999999</v>
      </c>
      <c r="T1129" s="3">
        <v>41512.561999999998</v>
      </c>
      <c r="U1129" s="3">
        <v>57867.218000000001</v>
      </c>
      <c r="V1129" s="3">
        <v>47979.70199999999</v>
      </c>
      <c r="W1129" s="3">
        <v>0</v>
      </c>
      <c r="X1129" s="3">
        <v>182555.52779852675</v>
      </c>
      <c r="Y1129" s="3">
        <v>0</v>
      </c>
      <c r="Z1129" s="3">
        <v>0</v>
      </c>
      <c r="AA1129" s="3">
        <v>0</v>
      </c>
      <c r="AB1129" s="3">
        <v>2760</v>
      </c>
      <c r="AC1129" s="3">
        <v>0</v>
      </c>
      <c r="AD1129" s="3">
        <v>2760</v>
      </c>
      <c r="AE1129" s="3">
        <v>185315.52779852675</v>
      </c>
      <c r="AF1129" s="3">
        <v>0</v>
      </c>
      <c r="AG1129" s="3">
        <v>185315.52779852675</v>
      </c>
      <c r="AH1129" s="3">
        <v>185315.52779852675</v>
      </c>
      <c r="AI1129" s="3">
        <v>142213397.69512954</v>
      </c>
      <c r="AJ1129" s="3">
        <v>145528.60675880106</v>
      </c>
    </row>
    <row r="1130" spans="1:36" x14ac:dyDescent="0.2">
      <c r="A1130" s="3" t="s">
        <v>75</v>
      </c>
      <c r="B1130" s="3" t="s">
        <v>83</v>
      </c>
      <c r="C1130" s="3" t="s">
        <v>125</v>
      </c>
      <c r="D1130" s="3">
        <v>1</v>
      </c>
      <c r="E1130" s="3">
        <v>2023</v>
      </c>
      <c r="F1130" s="3">
        <v>1</v>
      </c>
      <c r="G1130" s="3" t="s">
        <v>42</v>
      </c>
      <c r="H1130" s="3" t="s">
        <v>46</v>
      </c>
      <c r="I1130" s="5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 t="e">
        <f t="shared" si="18"/>
        <v>#DIV/0!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123.624</v>
      </c>
      <c r="AA1130" s="3">
        <v>-123.624</v>
      </c>
      <c r="AB1130" s="3">
        <v>0</v>
      </c>
      <c r="AC1130" s="3">
        <v>0</v>
      </c>
      <c r="AD1130" s="3">
        <v>0</v>
      </c>
      <c r="AE1130" s="3">
        <v>-123.624</v>
      </c>
      <c r="AF1130" s="3">
        <v>0</v>
      </c>
      <c r="AG1130" s="3">
        <v>-123.624</v>
      </c>
      <c r="AH1130" s="3">
        <v>-123.624</v>
      </c>
      <c r="AI1130" s="3">
        <v>0</v>
      </c>
      <c r="AJ1130" s="3">
        <v>0</v>
      </c>
    </row>
    <row r="1131" spans="1:36" x14ac:dyDescent="0.2">
      <c r="A1131" s="3" t="s">
        <v>75</v>
      </c>
      <c r="B1131" s="3" t="s">
        <v>83</v>
      </c>
      <c r="C1131" s="3" t="s">
        <v>125</v>
      </c>
      <c r="D1131" s="3">
        <v>1</v>
      </c>
      <c r="E1131" s="3">
        <v>2023</v>
      </c>
      <c r="F1131" s="3">
        <v>1</v>
      </c>
      <c r="G1131" s="3" t="s">
        <v>42</v>
      </c>
      <c r="H1131" s="3" t="s">
        <v>40</v>
      </c>
      <c r="I1131" s="5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 t="e">
        <f t="shared" si="18"/>
        <v>#DIV/0!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3">
        <v>0</v>
      </c>
      <c r="AE1131" s="3">
        <v>0</v>
      </c>
      <c r="AF1131" s="3">
        <v>0</v>
      </c>
      <c r="AG1131" s="3">
        <v>0</v>
      </c>
      <c r="AH1131" s="3">
        <v>0</v>
      </c>
      <c r="AI1131" s="3">
        <v>0</v>
      </c>
      <c r="AJ1131" s="3">
        <v>0</v>
      </c>
    </row>
    <row r="1132" spans="1:36" x14ac:dyDescent="0.2">
      <c r="A1132" s="3" t="s">
        <v>75</v>
      </c>
      <c r="B1132" s="3" t="s">
        <v>83</v>
      </c>
      <c r="C1132" s="3" t="s">
        <v>125</v>
      </c>
      <c r="D1132" s="3">
        <v>1</v>
      </c>
      <c r="E1132" s="3">
        <v>2023</v>
      </c>
      <c r="F1132" s="3">
        <v>1</v>
      </c>
      <c r="G1132" s="3" t="s">
        <v>39</v>
      </c>
      <c r="H1132" s="3" t="s">
        <v>40</v>
      </c>
      <c r="I1132" s="5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 t="e">
        <f t="shared" si="18"/>
        <v>#DIV/0!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3">
        <v>0</v>
      </c>
      <c r="AE1132" s="3">
        <v>0</v>
      </c>
      <c r="AF1132" s="3">
        <v>0</v>
      </c>
      <c r="AG1132" s="3">
        <v>0</v>
      </c>
      <c r="AH1132" s="3">
        <v>0</v>
      </c>
      <c r="AI1132" s="3">
        <v>0</v>
      </c>
      <c r="AJ1132" s="3">
        <v>0</v>
      </c>
    </row>
    <row r="1133" spans="1:36" x14ac:dyDescent="0.2">
      <c r="A1133" s="3" t="s">
        <v>75</v>
      </c>
      <c r="B1133" s="3" t="s">
        <v>83</v>
      </c>
      <c r="C1133" s="3" t="s">
        <v>125</v>
      </c>
      <c r="D1133" s="3">
        <v>2</v>
      </c>
      <c r="E1133" s="3">
        <v>2023</v>
      </c>
      <c r="F1133" s="3">
        <v>1</v>
      </c>
      <c r="G1133" s="3" t="s">
        <v>42</v>
      </c>
      <c r="H1133" s="3" t="s">
        <v>46</v>
      </c>
      <c r="I1133" s="5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 t="e">
        <f t="shared" si="18"/>
        <v>#DIV/0!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783.08100000000013</v>
      </c>
      <c r="AA1133" s="3">
        <v>-783.08100000000013</v>
      </c>
      <c r="AB1133" s="3">
        <v>0</v>
      </c>
      <c r="AC1133" s="3">
        <v>0</v>
      </c>
      <c r="AD1133" s="3">
        <v>0</v>
      </c>
      <c r="AE1133" s="3">
        <v>-783.08100000000013</v>
      </c>
      <c r="AF1133" s="3">
        <v>0</v>
      </c>
      <c r="AG1133" s="3">
        <v>-783.08100000000013</v>
      </c>
      <c r="AH1133" s="3">
        <v>-783.08100000000013</v>
      </c>
      <c r="AI1133" s="3">
        <v>0</v>
      </c>
      <c r="AJ1133" s="3">
        <v>0</v>
      </c>
    </row>
    <row r="1134" spans="1:36" x14ac:dyDescent="0.2">
      <c r="A1134" s="3" t="s">
        <v>75</v>
      </c>
      <c r="B1134" s="3" t="s">
        <v>83</v>
      </c>
      <c r="C1134" s="3" t="s">
        <v>125</v>
      </c>
      <c r="D1134" s="3">
        <v>2</v>
      </c>
      <c r="E1134" s="3">
        <v>2023</v>
      </c>
      <c r="F1134" s="3">
        <v>1</v>
      </c>
      <c r="G1134" s="3" t="s">
        <v>42</v>
      </c>
      <c r="H1134" s="3" t="s">
        <v>40</v>
      </c>
      <c r="I1134" s="5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 t="e">
        <f t="shared" si="18"/>
        <v>#DIV/0!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  <c r="AB1134" s="3">
        <v>0</v>
      </c>
      <c r="AC1134" s="3">
        <v>0</v>
      </c>
      <c r="AD1134" s="3">
        <v>0</v>
      </c>
      <c r="AE1134" s="3">
        <v>0</v>
      </c>
      <c r="AF1134" s="3">
        <v>0</v>
      </c>
      <c r="AG1134" s="3">
        <v>0</v>
      </c>
      <c r="AH1134" s="3">
        <v>0</v>
      </c>
      <c r="AI1134" s="3">
        <v>0</v>
      </c>
      <c r="AJ1134" s="3">
        <v>0</v>
      </c>
    </row>
    <row r="1135" spans="1:36" x14ac:dyDescent="0.2">
      <c r="A1135" s="3" t="s">
        <v>75</v>
      </c>
      <c r="B1135" s="3" t="s">
        <v>83</v>
      </c>
      <c r="C1135" s="3" t="s">
        <v>125</v>
      </c>
      <c r="D1135" s="3">
        <v>2</v>
      </c>
      <c r="E1135" s="3">
        <v>2023</v>
      </c>
      <c r="F1135" s="3">
        <v>1</v>
      </c>
      <c r="G1135" s="3" t="s">
        <v>39</v>
      </c>
      <c r="H1135" s="3" t="s">
        <v>40</v>
      </c>
      <c r="I1135" s="5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 t="e">
        <f t="shared" si="18"/>
        <v>#DIV/0!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3">
        <v>0</v>
      </c>
      <c r="AC1135" s="3">
        <v>0</v>
      </c>
      <c r="AD1135" s="3">
        <v>0</v>
      </c>
      <c r="AE1135" s="3">
        <v>0</v>
      </c>
      <c r="AF1135" s="3">
        <v>0</v>
      </c>
      <c r="AG1135" s="3">
        <v>0</v>
      </c>
      <c r="AH1135" s="3">
        <v>0</v>
      </c>
      <c r="AI1135" s="3">
        <v>0</v>
      </c>
      <c r="AJ1135" s="3">
        <v>0</v>
      </c>
    </row>
    <row r="1136" spans="1:36" x14ac:dyDescent="0.2">
      <c r="A1136" s="3" t="s">
        <v>75</v>
      </c>
      <c r="B1136" s="3" t="s">
        <v>83</v>
      </c>
      <c r="C1136" s="3" t="s">
        <v>125</v>
      </c>
      <c r="D1136" s="3">
        <v>3</v>
      </c>
      <c r="E1136" s="3">
        <v>2023</v>
      </c>
      <c r="F1136" s="3">
        <v>1</v>
      </c>
      <c r="G1136" s="3" t="s">
        <v>42</v>
      </c>
      <c r="H1136" s="3" t="s">
        <v>46</v>
      </c>
      <c r="I1136" s="5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 t="e">
        <f t="shared" si="18"/>
        <v>#DIV/0!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319.03300000000002</v>
      </c>
      <c r="AA1136" s="3">
        <v>-319.03300000000002</v>
      </c>
      <c r="AB1136" s="3">
        <v>0</v>
      </c>
      <c r="AC1136" s="3">
        <v>0</v>
      </c>
      <c r="AD1136" s="3">
        <v>0</v>
      </c>
      <c r="AE1136" s="3">
        <v>-319.03300000000002</v>
      </c>
      <c r="AF1136" s="3">
        <v>0</v>
      </c>
      <c r="AG1136" s="3">
        <v>-319.03300000000002</v>
      </c>
      <c r="AH1136" s="3">
        <v>-319.03300000000002</v>
      </c>
      <c r="AI1136" s="3">
        <v>0</v>
      </c>
      <c r="AJ1136" s="3">
        <v>0</v>
      </c>
    </row>
    <row r="1137" spans="1:36" x14ac:dyDescent="0.2">
      <c r="A1137" s="3" t="s">
        <v>75</v>
      </c>
      <c r="B1137" s="3" t="s">
        <v>83</v>
      </c>
      <c r="C1137" s="3" t="s">
        <v>125</v>
      </c>
      <c r="D1137" s="3">
        <v>3</v>
      </c>
      <c r="E1137" s="3">
        <v>2023</v>
      </c>
      <c r="F1137" s="3">
        <v>1</v>
      </c>
      <c r="G1137" s="3" t="s">
        <v>42</v>
      </c>
      <c r="H1137" s="3" t="s">
        <v>40</v>
      </c>
      <c r="I1137" s="5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 t="e">
        <f t="shared" si="18"/>
        <v>#DIV/0!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0</v>
      </c>
      <c r="AE1137" s="3">
        <v>0</v>
      </c>
      <c r="AF1137" s="3">
        <v>0</v>
      </c>
      <c r="AG1137" s="3">
        <v>0</v>
      </c>
      <c r="AH1137" s="3">
        <v>0</v>
      </c>
      <c r="AI1137" s="3">
        <v>0</v>
      </c>
      <c r="AJ1137" s="3">
        <v>0</v>
      </c>
    </row>
    <row r="1138" spans="1:36" x14ac:dyDescent="0.2">
      <c r="A1138" s="3" t="s">
        <v>75</v>
      </c>
      <c r="B1138" s="3" t="s">
        <v>83</v>
      </c>
      <c r="C1138" s="3" t="s">
        <v>125</v>
      </c>
      <c r="D1138" s="3">
        <v>3</v>
      </c>
      <c r="E1138" s="3">
        <v>2023</v>
      </c>
      <c r="F1138" s="3">
        <v>1</v>
      </c>
      <c r="G1138" s="3" t="s">
        <v>39</v>
      </c>
      <c r="H1138" s="3" t="s">
        <v>40</v>
      </c>
      <c r="I1138" s="5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 t="e">
        <f t="shared" si="18"/>
        <v>#DIV/0!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0</v>
      </c>
      <c r="AB1138" s="3">
        <v>0</v>
      </c>
      <c r="AC1138" s="3">
        <v>0</v>
      </c>
      <c r="AD1138" s="3">
        <v>0</v>
      </c>
      <c r="AE1138" s="3">
        <v>0</v>
      </c>
      <c r="AF1138" s="3">
        <v>0</v>
      </c>
      <c r="AG1138" s="3">
        <v>0</v>
      </c>
      <c r="AH1138" s="3">
        <v>0</v>
      </c>
      <c r="AI1138" s="3">
        <v>0</v>
      </c>
      <c r="AJ1138" s="3">
        <v>0</v>
      </c>
    </row>
    <row r="1139" spans="1:36" x14ac:dyDescent="0.2">
      <c r="A1139" s="3" t="s">
        <v>75</v>
      </c>
      <c r="B1139" s="3" t="s">
        <v>83</v>
      </c>
      <c r="C1139" s="3" t="s">
        <v>125</v>
      </c>
      <c r="D1139" s="3">
        <v>1</v>
      </c>
      <c r="E1139" s="3">
        <v>2023</v>
      </c>
      <c r="F1139" s="3">
        <v>1</v>
      </c>
      <c r="G1139" s="3" t="s">
        <v>48</v>
      </c>
      <c r="H1139" s="3" t="s">
        <v>46</v>
      </c>
      <c r="I1139" s="5">
        <v>4683840</v>
      </c>
      <c r="J1139" s="3">
        <v>307808</v>
      </c>
      <c r="K1139" s="3">
        <v>4376032</v>
      </c>
      <c r="L1139" s="3">
        <v>3007849.1519999998</v>
      </c>
      <c r="M1139" s="3">
        <v>1368182.8480000002</v>
      </c>
      <c r="N1139" s="3">
        <v>3663928.3840000001</v>
      </c>
      <c r="O1139" s="3">
        <f t="shared" si="18"/>
        <v>83.727184444720706</v>
      </c>
      <c r="P1139" s="3">
        <v>1019603.2000000001</v>
      </c>
      <c r="Q1139" s="3">
        <v>458076.44800000003</v>
      </c>
      <c r="R1139" s="3">
        <v>1319059.7919999999</v>
      </c>
      <c r="S1139" s="3">
        <v>52665.344000000005</v>
      </c>
      <c r="T1139" s="3">
        <v>192064.12800000003</v>
      </c>
      <c r="U1139" s="3">
        <v>108775.47200000001</v>
      </c>
      <c r="V1139" s="3">
        <v>513684</v>
      </c>
      <c r="W1139" s="3">
        <v>0</v>
      </c>
      <c r="X1139" s="3">
        <v>-2295745.5360000003</v>
      </c>
      <c r="Y1139" s="3">
        <v>127.11306188441988</v>
      </c>
      <c r="Z1139" s="3">
        <v>267567.71200000006</v>
      </c>
      <c r="AA1139" s="3">
        <v>-267440.59893811558</v>
      </c>
      <c r="AB1139" s="3">
        <v>0</v>
      </c>
      <c r="AC1139" s="3">
        <v>0</v>
      </c>
      <c r="AD1139" s="3">
        <v>0</v>
      </c>
      <c r="AE1139" s="3">
        <v>-2563186.1349381157</v>
      </c>
      <c r="AF1139" s="3">
        <v>0</v>
      </c>
      <c r="AG1139" s="3">
        <v>-2563186.1349381157</v>
      </c>
      <c r="AH1139" s="3">
        <v>-2563186.1349381157</v>
      </c>
      <c r="AI1139" s="3">
        <v>9120000</v>
      </c>
      <c r="AJ1139" s="3">
        <v>0</v>
      </c>
    </row>
    <row r="1140" spans="1:36" x14ac:dyDescent="0.2">
      <c r="A1140" s="3" t="s">
        <v>75</v>
      </c>
      <c r="B1140" s="3" t="s">
        <v>83</v>
      </c>
      <c r="C1140" s="3" t="s">
        <v>125</v>
      </c>
      <c r="D1140" s="3">
        <v>3</v>
      </c>
      <c r="E1140" s="3">
        <v>2023</v>
      </c>
      <c r="F1140" s="3">
        <v>1</v>
      </c>
      <c r="G1140" s="3" t="s">
        <v>48</v>
      </c>
      <c r="H1140" s="3" t="s">
        <v>46</v>
      </c>
      <c r="I1140" s="5">
        <v>5102482</v>
      </c>
      <c r="J1140" s="3">
        <v>336588</v>
      </c>
      <c r="K1140" s="3">
        <v>4765894</v>
      </c>
      <c r="L1140" s="3">
        <v>3149077.3719999995</v>
      </c>
      <c r="M1140" s="3">
        <v>1616816.628</v>
      </c>
      <c r="N1140" s="3">
        <v>3522008.2379999994</v>
      </c>
      <c r="O1140" s="3">
        <f t="shared" si="18"/>
        <v>73.90026379101171</v>
      </c>
      <c r="P1140" s="3">
        <v>892152.8</v>
      </c>
      <c r="Q1140" s="3">
        <v>437855.712</v>
      </c>
      <c r="R1140" s="3">
        <v>1021187.818</v>
      </c>
      <c r="S1140" s="3">
        <v>76730.191999999981</v>
      </c>
      <c r="T1140" s="3">
        <v>593823.03399999999</v>
      </c>
      <c r="U1140" s="3">
        <v>91482.453999999983</v>
      </c>
      <c r="V1140" s="3">
        <v>408776.228</v>
      </c>
      <c r="W1140" s="3">
        <v>0</v>
      </c>
      <c r="X1140" s="3">
        <v>-1905191.6099999999</v>
      </c>
      <c r="Y1140" s="3">
        <v>101.84877082420719</v>
      </c>
      <c r="Z1140" s="3">
        <v>222791.95399999997</v>
      </c>
      <c r="AA1140" s="3">
        <v>-222690.1052291758</v>
      </c>
      <c r="AB1140" s="3">
        <v>8540</v>
      </c>
      <c r="AC1140" s="3">
        <v>8540</v>
      </c>
      <c r="AD1140" s="3">
        <v>0</v>
      </c>
      <c r="AE1140" s="3">
        <v>-2127881.715229176</v>
      </c>
      <c r="AF1140" s="3">
        <v>0</v>
      </c>
      <c r="AG1140" s="3">
        <v>-2127881.715229176</v>
      </c>
      <c r="AH1140" s="3">
        <v>-2127881.715229176</v>
      </c>
      <c r="AI1140" s="3">
        <v>7840000</v>
      </c>
      <c r="AJ1140" s="3">
        <v>0</v>
      </c>
    </row>
    <row r="1141" spans="1:36" x14ac:dyDescent="0.2">
      <c r="A1141" s="3" t="s">
        <v>75</v>
      </c>
      <c r="B1141" s="3" t="s">
        <v>83</v>
      </c>
      <c r="C1141" s="3" t="s">
        <v>125</v>
      </c>
      <c r="D1141" s="3">
        <v>2</v>
      </c>
      <c r="E1141" s="3">
        <v>2023</v>
      </c>
      <c r="F1141" s="3">
        <v>1</v>
      </c>
      <c r="G1141" s="3" t="s">
        <v>48</v>
      </c>
      <c r="H1141" s="3" t="s">
        <v>46</v>
      </c>
      <c r="I1141" s="5">
        <v>6772557</v>
      </c>
      <c r="J1141" s="3">
        <v>224641</v>
      </c>
      <c r="K1141" s="3">
        <v>6547916</v>
      </c>
      <c r="L1141" s="3">
        <v>3966053.2079999992</v>
      </c>
      <c r="M1141" s="3">
        <v>2581862.7919999999</v>
      </c>
      <c r="N1141" s="3">
        <v>5523329.25</v>
      </c>
      <c r="O1141" s="3">
        <f t="shared" si="18"/>
        <v>84.35247565790398</v>
      </c>
      <c r="P1141" s="3">
        <v>1465679.5999999999</v>
      </c>
      <c r="Q1141" s="3">
        <v>658484.89399999985</v>
      </c>
      <c r="R1141" s="3">
        <v>1807048.8429999999</v>
      </c>
      <c r="S1141" s="3">
        <v>84907.811999999991</v>
      </c>
      <c r="T1141" s="3">
        <v>667010.92500000005</v>
      </c>
      <c r="U1141" s="3">
        <v>168461.47599999997</v>
      </c>
      <c r="V1141" s="3">
        <v>671735.70000000007</v>
      </c>
      <c r="W1141" s="3">
        <v>0</v>
      </c>
      <c r="X1141" s="3">
        <v>-2941466.4579999996</v>
      </c>
      <c r="Y1141" s="3">
        <v>173.69763930771728</v>
      </c>
      <c r="Z1141" s="3">
        <v>409457.43099999992</v>
      </c>
      <c r="AA1141" s="3">
        <v>-409283.73336069228</v>
      </c>
      <c r="AB1141" s="3">
        <v>6900</v>
      </c>
      <c r="AC1141" s="3">
        <v>6900</v>
      </c>
      <c r="AD1141" s="3">
        <v>0</v>
      </c>
      <c r="AE1141" s="3">
        <v>-3350750.1913606916</v>
      </c>
      <c r="AF1141" s="3">
        <v>0</v>
      </c>
      <c r="AG1141" s="3">
        <v>-3350750.1913606916</v>
      </c>
      <c r="AH1141" s="3">
        <v>-3350750.1913606916</v>
      </c>
      <c r="AI1141" s="3">
        <v>15639999.999999998</v>
      </c>
      <c r="AJ1141" s="3">
        <v>0</v>
      </c>
    </row>
    <row r="1142" spans="1:36" x14ac:dyDescent="0.2">
      <c r="A1142" s="3" t="s">
        <v>75</v>
      </c>
      <c r="B1142" s="3" t="s">
        <v>83</v>
      </c>
      <c r="C1142" s="3" t="s">
        <v>125</v>
      </c>
      <c r="D1142" s="3">
        <v>1</v>
      </c>
      <c r="E1142" s="3">
        <v>2023</v>
      </c>
      <c r="F1142" s="3">
        <v>1</v>
      </c>
      <c r="G1142" s="3" t="s">
        <v>39</v>
      </c>
      <c r="H1142" s="3" t="s">
        <v>46</v>
      </c>
      <c r="I1142" s="5">
        <v>41342794.232496776</v>
      </c>
      <c r="J1142" s="3">
        <v>0</v>
      </c>
      <c r="K1142" s="3">
        <v>41342794.232496776</v>
      </c>
      <c r="L1142" s="3">
        <v>41256566.114588492</v>
      </c>
      <c r="M1142" s="3">
        <v>86228.117908288463</v>
      </c>
      <c r="N1142" s="3">
        <v>662688.74199999985</v>
      </c>
      <c r="O1142" s="3">
        <f t="shared" si="18"/>
        <v>1.602912319552666</v>
      </c>
      <c r="P1142" s="3">
        <v>122198.99999999997</v>
      </c>
      <c r="Q1142" s="3">
        <v>52801.881999999998</v>
      </c>
      <c r="R1142" s="3">
        <v>377002.15399999998</v>
      </c>
      <c r="S1142" s="3">
        <v>3890.9789999999998</v>
      </c>
      <c r="T1142" s="3">
        <v>39941.983999999997</v>
      </c>
      <c r="U1142" s="3">
        <v>8712.9749999999985</v>
      </c>
      <c r="V1142" s="3">
        <v>58139.767999999996</v>
      </c>
      <c r="W1142" s="3">
        <v>0</v>
      </c>
      <c r="X1142" s="3">
        <v>-576460.62409171148</v>
      </c>
      <c r="Y1142" s="3">
        <v>0</v>
      </c>
      <c r="Z1142" s="3">
        <v>0</v>
      </c>
      <c r="AA1142" s="3">
        <v>0</v>
      </c>
      <c r="AB1142" s="3">
        <v>3450</v>
      </c>
      <c r="AC1142" s="3">
        <v>1168.3999999999999</v>
      </c>
      <c r="AD1142" s="3">
        <v>2281.5999999999995</v>
      </c>
      <c r="AE1142" s="3">
        <v>-574179.0240917115</v>
      </c>
      <c r="AF1142" s="3">
        <v>0</v>
      </c>
      <c r="AG1142" s="3">
        <v>-574179.0240917115</v>
      </c>
      <c r="AH1142" s="3">
        <v>-574179.0240917115</v>
      </c>
      <c r="AI1142" s="3">
        <v>248342794.23249677</v>
      </c>
      <c r="AJ1142" s="3">
        <v>146207.40595994351</v>
      </c>
    </row>
    <row r="1143" spans="1:36" x14ac:dyDescent="0.2">
      <c r="A1143" s="3" t="s">
        <v>75</v>
      </c>
      <c r="B1143" s="3" t="s">
        <v>83</v>
      </c>
      <c r="C1143" s="3" t="s">
        <v>125</v>
      </c>
      <c r="D1143" s="3">
        <v>3</v>
      </c>
      <c r="E1143" s="3">
        <v>2023</v>
      </c>
      <c r="F1143" s="3">
        <v>1</v>
      </c>
      <c r="G1143" s="3" t="s">
        <v>39</v>
      </c>
      <c r="H1143" s="3" t="s">
        <v>46</v>
      </c>
      <c r="I1143" s="5">
        <v>135461371.86259693</v>
      </c>
      <c r="J1143" s="3">
        <v>0</v>
      </c>
      <c r="K1143" s="3">
        <v>135461371.86259693</v>
      </c>
      <c r="L1143" s="3">
        <v>134886980.04336292</v>
      </c>
      <c r="M1143" s="3">
        <v>574391.81923404697</v>
      </c>
      <c r="N1143" s="3">
        <v>822483.40799999994</v>
      </c>
      <c r="O1143" s="3">
        <f t="shared" si="18"/>
        <v>0.6071719167544477</v>
      </c>
      <c r="P1143" s="3">
        <v>127512</v>
      </c>
      <c r="Q1143" s="3">
        <v>60391.34399999999</v>
      </c>
      <c r="R1143" s="3">
        <v>370555.75199999992</v>
      </c>
      <c r="S1143" s="3">
        <v>4060.152</v>
      </c>
      <c r="T1143" s="3">
        <v>152057.4</v>
      </c>
      <c r="U1143" s="3">
        <v>57486.215999999993</v>
      </c>
      <c r="V1143" s="3">
        <v>50420.543999999994</v>
      </c>
      <c r="W1143" s="3">
        <v>0</v>
      </c>
      <c r="X1143" s="3">
        <v>-248091.58876595306</v>
      </c>
      <c r="Y1143" s="3">
        <v>0</v>
      </c>
      <c r="Z1143" s="3">
        <v>0</v>
      </c>
      <c r="AA1143" s="3">
        <v>0</v>
      </c>
      <c r="AB1143" s="3">
        <v>7080</v>
      </c>
      <c r="AC1143" s="3">
        <v>609.6</v>
      </c>
      <c r="AD1143" s="3">
        <v>6470.4</v>
      </c>
      <c r="AE1143" s="3">
        <v>-241621.18876595309</v>
      </c>
      <c r="AF1143" s="3">
        <v>0</v>
      </c>
      <c r="AG1143" s="3">
        <v>-241621.18876595309</v>
      </c>
      <c r="AH1143" s="3">
        <v>-241621.18876595309</v>
      </c>
      <c r="AI1143" s="3">
        <v>135461371.86259693</v>
      </c>
      <c r="AJ1143" s="3">
        <v>152564.24969733239</v>
      </c>
    </row>
    <row r="1144" spans="1:36" x14ac:dyDescent="0.2">
      <c r="A1144" s="3" t="s">
        <v>75</v>
      </c>
      <c r="B1144" s="3" t="s">
        <v>83</v>
      </c>
      <c r="C1144" s="3" t="s">
        <v>125</v>
      </c>
      <c r="D1144" s="3">
        <v>2</v>
      </c>
      <c r="E1144" s="3">
        <v>2023</v>
      </c>
      <c r="F1144" s="3">
        <v>1</v>
      </c>
      <c r="G1144" s="3" t="s">
        <v>39</v>
      </c>
      <c r="H1144" s="3" t="s">
        <v>46</v>
      </c>
      <c r="I1144" s="5">
        <v>239098885.36045086</v>
      </c>
      <c r="J1144" s="3">
        <v>0</v>
      </c>
      <c r="K1144" s="3">
        <v>239098885.36045086</v>
      </c>
      <c r="L1144" s="3">
        <v>238528691.75000894</v>
      </c>
      <c r="M1144" s="3">
        <v>570193.61044187925</v>
      </c>
      <c r="N1144" s="3">
        <v>934045.75599999994</v>
      </c>
      <c r="O1144" s="3">
        <f t="shared" si="18"/>
        <v>0.39065249283445613</v>
      </c>
      <c r="P1144" s="3">
        <v>148763.99999999997</v>
      </c>
      <c r="Q1144" s="3">
        <v>64280.551999999989</v>
      </c>
      <c r="R1144" s="3">
        <v>483159.68400000001</v>
      </c>
      <c r="S1144" s="3">
        <v>4736.8440000000001</v>
      </c>
      <c r="T1144" s="3">
        <v>135635.35999999999</v>
      </c>
      <c r="U1144" s="3">
        <v>38981.767999999996</v>
      </c>
      <c r="V1144" s="3">
        <v>58487.547999999995</v>
      </c>
      <c r="W1144" s="3">
        <v>0</v>
      </c>
      <c r="X1144" s="3">
        <v>-363852.14555812068</v>
      </c>
      <c r="Y1144" s="3">
        <v>0</v>
      </c>
      <c r="Z1144" s="3">
        <v>0</v>
      </c>
      <c r="AA1144" s="3">
        <v>0</v>
      </c>
      <c r="AB1144" s="3">
        <v>5039.9999999999991</v>
      </c>
      <c r="AC1144" s="3">
        <v>1422.4</v>
      </c>
      <c r="AD1144" s="3">
        <v>3617.6</v>
      </c>
      <c r="AE1144" s="3">
        <v>-360234.54555812065</v>
      </c>
      <c r="AF1144" s="3">
        <v>0</v>
      </c>
      <c r="AG1144" s="3">
        <v>-360234.54555812065</v>
      </c>
      <c r="AH1144" s="3">
        <v>-360234.54555812065</v>
      </c>
      <c r="AI1144" s="3">
        <v>239098885.36045086</v>
      </c>
      <c r="AJ1144" s="3">
        <v>177991.62464688779</v>
      </c>
    </row>
    <row r="1145" spans="1:36" x14ac:dyDescent="0.2">
      <c r="A1145" s="3" t="s">
        <v>75</v>
      </c>
      <c r="B1145" s="3" t="s">
        <v>83</v>
      </c>
      <c r="C1145" s="3" t="s">
        <v>126</v>
      </c>
      <c r="D1145" s="3">
        <v>3</v>
      </c>
      <c r="E1145" s="3">
        <v>2023</v>
      </c>
      <c r="F1145" s="3">
        <v>1</v>
      </c>
      <c r="G1145" s="3" t="s">
        <v>42</v>
      </c>
      <c r="H1145" s="3" t="s">
        <v>46</v>
      </c>
      <c r="I1145" s="5">
        <v>5500</v>
      </c>
      <c r="J1145" s="3">
        <v>1380</v>
      </c>
      <c r="K1145" s="3">
        <v>4120</v>
      </c>
      <c r="L1145" s="3">
        <v>3300</v>
      </c>
      <c r="M1145" s="3">
        <v>820</v>
      </c>
      <c r="N1145" s="3">
        <v>0</v>
      </c>
      <c r="O1145" s="3">
        <f t="shared" si="18"/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3">
        <v>820</v>
      </c>
      <c r="Y1145" s="3">
        <v>0</v>
      </c>
      <c r="Z1145" s="3">
        <v>608.1</v>
      </c>
      <c r="AA1145" s="3">
        <v>-608.1</v>
      </c>
      <c r="AB1145" s="3">
        <v>0</v>
      </c>
      <c r="AC1145" s="3">
        <v>0</v>
      </c>
      <c r="AD1145" s="3">
        <v>0</v>
      </c>
      <c r="AE1145" s="3">
        <v>211.9</v>
      </c>
      <c r="AF1145" s="3">
        <v>0</v>
      </c>
      <c r="AG1145" s="3">
        <v>211.9</v>
      </c>
      <c r="AH1145" s="3">
        <v>211.9</v>
      </c>
      <c r="AI1145" s="3">
        <v>0</v>
      </c>
      <c r="AJ1145" s="3">
        <v>0</v>
      </c>
    </row>
    <row r="1146" spans="1:36" x14ac:dyDescent="0.2">
      <c r="A1146" s="3" t="s">
        <v>75</v>
      </c>
      <c r="B1146" s="3" t="s">
        <v>83</v>
      </c>
      <c r="C1146" s="3" t="s">
        <v>126</v>
      </c>
      <c r="D1146" s="3">
        <v>1</v>
      </c>
      <c r="E1146" s="3">
        <v>2023</v>
      </c>
      <c r="F1146" s="3">
        <v>1</v>
      </c>
      <c r="G1146" s="3" t="s">
        <v>42</v>
      </c>
      <c r="H1146" s="3" t="s">
        <v>46</v>
      </c>
      <c r="I1146" s="5">
        <v>85860</v>
      </c>
      <c r="J1146" s="3">
        <v>0</v>
      </c>
      <c r="K1146" s="3">
        <v>85860</v>
      </c>
      <c r="L1146" s="3">
        <v>51516</v>
      </c>
      <c r="M1146" s="3">
        <v>34344</v>
      </c>
      <c r="N1146" s="3">
        <v>0</v>
      </c>
      <c r="O1146" s="3">
        <f t="shared" si="18"/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34344</v>
      </c>
      <c r="Y1146" s="3">
        <v>0</v>
      </c>
      <c r="Z1146" s="3">
        <v>1560.7439999999999</v>
      </c>
      <c r="AA1146" s="3">
        <v>-1560.7439999999999</v>
      </c>
      <c r="AB1146" s="3">
        <v>0</v>
      </c>
      <c r="AC1146" s="3">
        <v>0</v>
      </c>
      <c r="AD1146" s="3">
        <v>0</v>
      </c>
      <c r="AE1146" s="3">
        <v>32783.256000000001</v>
      </c>
      <c r="AF1146" s="3">
        <v>0</v>
      </c>
      <c r="AG1146" s="3">
        <v>32783.256000000001</v>
      </c>
      <c r="AH1146" s="3">
        <v>32783.256000000001</v>
      </c>
      <c r="AI1146" s="3">
        <v>0</v>
      </c>
      <c r="AJ1146" s="3">
        <v>0</v>
      </c>
    </row>
    <row r="1147" spans="1:36" x14ac:dyDescent="0.2">
      <c r="A1147" s="3" t="s">
        <v>75</v>
      </c>
      <c r="B1147" s="3" t="s">
        <v>83</v>
      </c>
      <c r="C1147" s="3" t="s">
        <v>126</v>
      </c>
      <c r="D1147" s="3">
        <v>2</v>
      </c>
      <c r="E1147" s="3">
        <v>2023</v>
      </c>
      <c r="F1147" s="3">
        <v>1</v>
      </c>
      <c r="G1147" s="3" t="s">
        <v>42</v>
      </c>
      <c r="H1147" s="3" t="s">
        <v>46</v>
      </c>
      <c r="I1147" s="5">
        <v>162600</v>
      </c>
      <c r="J1147" s="3">
        <v>0</v>
      </c>
      <c r="K1147" s="3">
        <v>162600</v>
      </c>
      <c r="L1147" s="3">
        <v>103960</v>
      </c>
      <c r="M1147" s="3">
        <v>58640</v>
      </c>
      <c r="N1147" s="3">
        <v>0</v>
      </c>
      <c r="O1147" s="3">
        <f t="shared" si="18"/>
        <v>0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58640</v>
      </c>
      <c r="Y1147" s="3">
        <v>0</v>
      </c>
      <c r="Z1147" s="3">
        <v>1536.14</v>
      </c>
      <c r="AA1147" s="3">
        <v>-1536.14</v>
      </c>
      <c r="AB1147" s="3">
        <v>0</v>
      </c>
      <c r="AC1147" s="3">
        <v>0</v>
      </c>
      <c r="AD1147" s="3">
        <v>0</v>
      </c>
      <c r="AE1147" s="3">
        <v>57103.86</v>
      </c>
      <c r="AF1147" s="3">
        <v>0</v>
      </c>
      <c r="AG1147" s="3">
        <v>57103.86</v>
      </c>
      <c r="AH1147" s="3">
        <v>57103.86</v>
      </c>
      <c r="AI1147" s="3">
        <v>0</v>
      </c>
      <c r="AJ1147" s="3">
        <v>0</v>
      </c>
    </row>
    <row r="1148" spans="1:36" x14ac:dyDescent="0.2">
      <c r="A1148" s="3" t="s">
        <v>75</v>
      </c>
      <c r="B1148" s="3" t="s">
        <v>83</v>
      </c>
      <c r="C1148" s="3" t="s">
        <v>126</v>
      </c>
      <c r="D1148" s="3">
        <v>3</v>
      </c>
      <c r="E1148" s="3">
        <v>2023</v>
      </c>
      <c r="F1148" s="3">
        <v>1</v>
      </c>
      <c r="G1148" s="3" t="s">
        <v>48</v>
      </c>
      <c r="H1148" s="3" t="s">
        <v>46</v>
      </c>
      <c r="I1148" s="5">
        <v>7028822</v>
      </c>
      <c r="J1148" s="3">
        <v>429132.1</v>
      </c>
      <c r="K1148" s="3">
        <v>6599689.9000000004</v>
      </c>
      <c r="L1148" s="3">
        <v>3940841.7939999998</v>
      </c>
      <c r="M1148" s="3">
        <v>2658848.1059999997</v>
      </c>
      <c r="N1148" s="3">
        <v>2429555.9350000001</v>
      </c>
      <c r="O1148" s="3">
        <f t="shared" si="18"/>
        <v>36.813183222442007</v>
      </c>
      <c r="P1148" s="3">
        <v>750997.3820000001</v>
      </c>
      <c r="Q1148" s="3">
        <v>379675.005</v>
      </c>
      <c r="R1148" s="3">
        <v>738308.17500000005</v>
      </c>
      <c r="S1148" s="3">
        <v>97000.244000000006</v>
      </c>
      <c r="T1148" s="3">
        <v>73361.451000000001</v>
      </c>
      <c r="U1148" s="3">
        <v>155334.04399999997</v>
      </c>
      <c r="V1148" s="3">
        <v>234879.63399999996</v>
      </c>
      <c r="W1148" s="3">
        <v>0</v>
      </c>
      <c r="X1148" s="3">
        <v>229292.17099999997</v>
      </c>
      <c r="Y1148" s="3">
        <v>167.48987282457077</v>
      </c>
      <c r="Z1148" s="3">
        <v>83612.311999999976</v>
      </c>
      <c r="AA1148" s="3">
        <v>-83444.822127175416</v>
      </c>
      <c r="AB1148" s="3">
        <v>0</v>
      </c>
      <c r="AC1148" s="3">
        <v>0</v>
      </c>
      <c r="AD1148" s="3">
        <v>0</v>
      </c>
      <c r="AE1148" s="3">
        <v>145847.34887282457</v>
      </c>
      <c r="AF1148" s="3">
        <v>0</v>
      </c>
      <c r="AG1148" s="3">
        <v>145847.34887282457</v>
      </c>
      <c r="AH1148" s="3">
        <v>145847.34887282457</v>
      </c>
      <c r="AI1148" s="3">
        <v>7790000</v>
      </c>
      <c r="AJ1148" s="3">
        <v>0</v>
      </c>
    </row>
    <row r="1149" spans="1:36" x14ac:dyDescent="0.2">
      <c r="A1149" s="3" t="s">
        <v>75</v>
      </c>
      <c r="B1149" s="3" t="s">
        <v>83</v>
      </c>
      <c r="C1149" s="3" t="s">
        <v>126</v>
      </c>
      <c r="D1149" s="3">
        <v>1</v>
      </c>
      <c r="E1149" s="3">
        <v>2023</v>
      </c>
      <c r="F1149" s="3">
        <v>1</v>
      </c>
      <c r="G1149" s="3" t="s">
        <v>48</v>
      </c>
      <c r="H1149" s="3" t="s">
        <v>46</v>
      </c>
      <c r="I1149" s="5">
        <v>7176070.7939999998</v>
      </c>
      <c r="J1149" s="3">
        <v>269998.79399999999</v>
      </c>
      <c r="K1149" s="3">
        <v>6906072</v>
      </c>
      <c r="L1149" s="3">
        <v>4190817.9939999995</v>
      </c>
      <c r="M1149" s="3">
        <v>2715254.0059999991</v>
      </c>
      <c r="N1149" s="3">
        <v>2863168.34</v>
      </c>
      <c r="O1149" s="3">
        <f t="shared" si="18"/>
        <v>41.458709668824767</v>
      </c>
      <c r="P1149" s="3">
        <v>1144147.719</v>
      </c>
      <c r="Q1149" s="3">
        <v>233176.62199999997</v>
      </c>
      <c r="R1149" s="3">
        <v>897280.34699999983</v>
      </c>
      <c r="S1149" s="3">
        <v>72343.187999999995</v>
      </c>
      <c r="T1149" s="3">
        <v>25458.745999999996</v>
      </c>
      <c r="U1149" s="3">
        <v>202578.91700000002</v>
      </c>
      <c r="V1149" s="3">
        <v>288182.80099999998</v>
      </c>
      <c r="W1149" s="3">
        <v>0</v>
      </c>
      <c r="X1149" s="3">
        <v>-147914.33399999997</v>
      </c>
      <c r="Y1149" s="3">
        <v>252.26471081780215</v>
      </c>
      <c r="Z1149" s="3">
        <v>130120.13099999999</v>
      </c>
      <c r="AA1149" s="3">
        <v>-129867.8662891822</v>
      </c>
      <c r="AB1149" s="3">
        <v>0</v>
      </c>
      <c r="AC1149" s="3">
        <v>0</v>
      </c>
      <c r="AD1149" s="3">
        <v>0</v>
      </c>
      <c r="AE1149" s="3">
        <v>-277782.20028918219</v>
      </c>
      <c r="AF1149" s="3">
        <v>0</v>
      </c>
      <c r="AG1149" s="3">
        <v>-277782.20028918219</v>
      </c>
      <c r="AH1149" s="3">
        <v>-277782.20028918219</v>
      </c>
      <c r="AI1149" s="3">
        <v>9199999.9999999981</v>
      </c>
      <c r="AJ1149" s="3">
        <v>0</v>
      </c>
    </row>
    <row r="1150" spans="1:36" x14ac:dyDescent="0.2">
      <c r="A1150" s="3" t="s">
        <v>75</v>
      </c>
      <c r="B1150" s="3" t="s">
        <v>83</v>
      </c>
      <c r="C1150" s="3" t="s">
        <v>126</v>
      </c>
      <c r="D1150" s="3">
        <v>2</v>
      </c>
      <c r="E1150" s="3">
        <v>2023</v>
      </c>
      <c r="F1150" s="3">
        <v>1</v>
      </c>
      <c r="G1150" s="3" t="s">
        <v>48</v>
      </c>
      <c r="H1150" s="3" t="s">
        <v>46</v>
      </c>
      <c r="I1150" s="5">
        <v>7198192</v>
      </c>
      <c r="J1150" s="3">
        <v>283072</v>
      </c>
      <c r="K1150" s="3">
        <v>6915120</v>
      </c>
      <c r="L1150" s="3">
        <v>4337045.4399999995</v>
      </c>
      <c r="M1150" s="3">
        <v>2578074.56</v>
      </c>
      <c r="N1150" s="3">
        <v>2227763.1680000001</v>
      </c>
      <c r="O1150" s="3">
        <f t="shared" si="18"/>
        <v>32.215828040583531</v>
      </c>
      <c r="P1150" s="3">
        <v>795928.848</v>
      </c>
      <c r="Q1150" s="3">
        <v>319726.32</v>
      </c>
      <c r="R1150" s="3">
        <v>551931.87199999997</v>
      </c>
      <c r="S1150" s="3">
        <v>61147.232000000004</v>
      </c>
      <c r="T1150" s="3">
        <v>127589.29600000002</v>
      </c>
      <c r="U1150" s="3">
        <v>169417.69600000003</v>
      </c>
      <c r="V1150" s="3">
        <v>202021.90400000004</v>
      </c>
      <c r="W1150" s="3">
        <v>0</v>
      </c>
      <c r="X1150" s="3">
        <v>350311.39200000005</v>
      </c>
      <c r="Y1150" s="3">
        <v>173.4427818623144</v>
      </c>
      <c r="Z1150" s="3">
        <v>97843.343999999997</v>
      </c>
      <c r="AA1150" s="3">
        <v>-97669.901218137689</v>
      </c>
      <c r="AB1150" s="3">
        <v>0</v>
      </c>
      <c r="AC1150" s="3">
        <v>0</v>
      </c>
      <c r="AD1150" s="3">
        <v>0</v>
      </c>
      <c r="AE1150" s="3">
        <v>252641.49078186235</v>
      </c>
      <c r="AF1150" s="3">
        <v>0</v>
      </c>
      <c r="AG1150" s="3">
        <v>252641.49078186235</v>
      </c>
      <c r="AH1150" s="3">
        <v>252641.49078186235</v>
      </c>
      <c r="AI1150" s="3">
        <v>7200000</v>
      </c>
      <c r="AJ1150" s="3">
        <v>0</v>
      </c>
    </row>
    <row r="1151" spans="1:36" x14ac:dyDescent="0.2">
      <c r="A1151" s="3" t="s">
        <v>75</v>
      </c>
      <c r="B1151" s="3" t="s">
        <v>83</v>
      </c>
      <c r="C1151" s="3" t="s">
        <v>127</v>
      </c>
      <c r="D1151" s="3">
        <v>1</v>
      </c>
      <c r="E1151" s="3">
        <v>2023</v>
      </c>
      <c r="F1151" s="3">
        <v>1</v>
      </c>
      <c r="G1151" s="3" t="s">
        <v>42</v>
      </c>
      <c r="H1151" s="3" t="s">
        <v>40</v>
      </c>
      <c r="I1151" s="5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 t="e">
        <f t="shared" si="18"/>
        <v>#DIV/0!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  <c r="AB1151" s="3">
        <v>0</v>
      </c>
      <c r="AC1151" s="3">
        <v>0</v>
      </c>
      <c r="AD1151" s="3">
        <v>0</v>
      </c>
      <c r="AE1151" s="3">
        <v>0</v>
      </c>
      <c r="AF1151" s="3">
        <v>0</v>
      </c>
      <c r="AG1151" s="3">
        <v>0</v>
      </c>
      <c r="AH1151" s="3">
        <v>0</v>
      </c>
      <c r="AI1151" s="3">
        <v>0</v>
      </c>
      <c r="AJ1151" s="3">
        <v>0</v>
      </c>
    </row>
    <row r="1152" spans="1:36" x14ac:dyDescent="0.2">
      <c r="A1152" s="3" t="s">
        <v>75</v>
      </c>
      <c r="B1152" s="3" t="s">
        <v>83</v>
      </c>
      <c r="C1152" s="3" t="s">
        <v>127</v>
      </c>
      <c r="D1152" s="3">
        <v>1</v>
      </c>
      <c r="E1152" s="3">
        <v>2023</v>
      </c>
      <c r="F1152" s="3">
        <v>1</v>
      </c>
      <c r="G1152" s="3" t="s">
        <v>39</v>
      </c>
      <c r="H1152" s="3" t="s">
        <v>40</v>
      </c>
      <c r="I1152" s="5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 t="e">
        <f t="shared" ref="O1152:O1215" si="19">N1152/K1152*100</f>
        <v>#DIV/0!</v>
      </c>
      <c r="P1152" s="3">
        <v>0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3">
        <v>0</v>
      </c>
      <c r="AE1152" s="3">
        <v>0</v>
      </c>
      <c r="AF1152" s="3">
        <v>0</v>
      </c>
      <c r="AG1152" s="3">
        <v>0</v>
      </c>
      <c r="AH1152" s="3">
        <v>0</v>
      </c>
      <c r="AI1152" s="3">
        <v>0</v>
      </c>
      <c r="AJ1152" s="3">
        <v>0</v>
      </c>
    </row>
    <row r="1153" spans="1:36" x14ac:dyDescent="0.2">
      <c r="A1153" s="3" t="s">
        <v>75</v>
      </c>
      <c r="B1153" s="3" t="s">
        <v>83</v>
      </c>
      <c r="C1153" s="3" t="s">
        <v>127</v>
      </c>
      <c r="D1153" s="3">
        <v>2</v>
      </c>
      <c r="E1153" s="3">
        <v>2023</v>
      </c>
      <c r="F1153" s="3">
        <v>1</v>
      </c>
      <c r="G1153" s="3" t="s">
        <v>42</v>
      </c>
      <c r="H1153" s="3" t="s">
        <v>40</v>
      </c>
      <c r="I1153" s="5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 t="e">
        <f t="shared" si="19"/>
        <v>#DIV/0!</v>
      </c>
      <c r="P1153" s="3">
        <v>0</v>
      </c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0</v>
      </c>
      <c r="AD1153" s="3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0</v>
      </c>
      <c r="AJ1153" s="3">
        <v>0</v>
      </c>
    </row>
    <row r="1154" spans="1:36" x14ac:dyDescent="0.2">
      <c r="A1154" s="3" t="s">
        <v>75</v>
      </c>
      <c r="B1154" s="3" t="s">
        <v>83</v>
      </c>
      <c r="C1154" s="3" t="s">
        <v>127</v>
      </c>
      <c r="D1154" s="3">
        <v>2</v>
      </c>
      <c r="E1154" s="3">
        <v>2023</v>
      </c>
      <c r="F1154" s="3">
        <v>1</v>
      </c>
      <c r="G1154" s="3" t="s">
        <v>39</v>
      </c>
      <c r="H1154" s="3" t="s">
        <v>40</v>
      </c>
      <c r="I1154" s="5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 t="e">
        <f t="shared" si="19"/>
        <v>#DIV/0!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0</v>
      </c>
      <c r="AJ1154" s="3">
        <v>0</v>
      </c>
    </row>
    <row r="1155" spans="1:36" x14ac:dyDescent="0.2">
      <c r="A1155" s="3" t="s">
        <v>75</v>
      </c>
      <c r="B1155" s="3" t="s">
        <v>83</v>
      </c>
      <c r="C1155" s="3" t="s">
        <v>127</v>
      </c>
      <c r="D1155" s="3">
        <v>3</v>
      </c>
      <c r="E1155" s="3">
        <v>2023</v>
      </c>
      <c r="F1155" s="3">
        <v>1</v>
      </c>
      <c r="G1155" s="3" t="s">
        <v>42</v>
      </c>
      <c r="H1155" s="3" t="s">
        <v>40</v>
      </c>
      <c r="I1155" s="5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 t="e">
        <f t="shared" si="19"/>
        <v>#DIV/0!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3">
        <v>0</v>
      </c>
      <c r="AF1155" s="3">
        <v>0</v>
      </c>
      <c r="AG1155" s="3">
        <v>0</v>
      </c>
      <c r="AH1155" s="3">
        <v>0</v>
      </c>
      <c r="AI1155" s="3">
        <v>0</v>
      </c>
      <c r="AJ1155" s="3">
        <v>0</v>
      </c>
    </row>
    <row r="1156" spans="1:36" x14ac:dyDescent="0.2">
      <c r="A1156" s="3" t="s">
        <v>75</v>
      </c>
      <c r="B1156" s="3" t="s">
        <v>83</v>
      </c>
      <c r="C1156" s="3" t="s">
        <v>127</v>
      </c>
      <c r="D1156" s="3">
        <v>3</v>
      </c>
      <c r="E1156" s="3">
        <v>2023</v>
      </c>
      <c r="F1156" s="3">
        <v>1</v>
      </c>
      <c r="G1156" s="3" t="s">
        <v>39</v>
      </c>
      <c r="H1156" s="3" t="s">
        <v>40</v>
      </c>
      <c r="I1156" s="5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 t="e">
        <f t="shared" si="19"/>
        <v>#DIV/0!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0</v>
      </c>
      <c r="AJ1156" s="3">
        <v>0</v>
      </c>
    </row>
    <row r="1157" spans="1:36" x14ac:dyDescent="0.2">
      <c r="A1157" s="3" t="s">
        <v>75</v>
      </c>
      <c r="B1157" s="3" t="s">
        <v>83</v>
      </c>
      <c r="C1157" s="3" t="s">
        <v>127</v>
      </c>
      <c r="D1157" s="3">
        <v>1</v>
      </c>
      <c r="E1157" s="3">
        <v>2023</v>
      </c>
      <c r="F1157" s="3">
        <v>1</v>
      </c>
      <c r="G1157" s="3" t="s">
        <v>42</v>
      </c>
      <c r="H1157" s="3" t="s">
        <v>46</v>
      </c>
      <c r="I1157" s="5">
        <v>9680.0000000000018</v>
      </c>
      <c r="J1157" s="3">
        <v>0</v>
      </c>
      <c r="K1157" s="3">
        <v>9680.0000000000018</v>
      </c>
      <c r="L1157" s="3">
        <v>5808</v>
      </c>
      <c r="M1157" s="3">
        <v>3872.0000000000005</v>
      </c>
      <c r="N1157" s="3">
        <v>0</v>
      </c>
      <c r="O1157" s="3">
        <f t="shared" si="19"/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3">
        <v>3872.0000000000005</v>
      </c>
      <c r="Y1157" s="3">
        <v>0</v>
      </c>
      <c r="Z1157" s="3">
        <v>485.07800000000003</v>
      </c>
      <c r="AA1157" s="3">
        <v>-485.07800000000003</v>
      </c>
      <c r="AB1157" s="3">
        <v>0</v>
      </c>
      <c r="AC1157" s="3">
        <v>0</v>
      </c>
      <c r="AD1157" s="3">
        <v>0</v>
      </c>
      <c r="AE1157" s="3">
        <v>3386.922</v>
      </c>
      <c r="AF1157" s="3">
        <v>0</v>
      </c>
      <c r="AG1157" s="3">
        <v>3386.922</v>
      </c>
      <c r="AH1157" s="3">
        <v>3386.922</v>
      </c>
      <c r="AI1157" s="3">
        <v>0</v>
      </c>
      <c r="AJ1157" s="3">
        <v>0</v>
      </c>
    </row>
    <row r="1158" spans="1:36" x14ac:dyDescent="0.2">
      <c r="A1158" s="3" t="s">
        <v>75</v>
      </c>
      <c r="B1158" s="3" t="s">
        <v>83</v>
      </c>
      <c r="C1158" s="3" t="s">
        <v>127</v>
      </c>
      <c r="D1158" s="3">
        <v>2</v>
      </c>
      <c r="E1158" s="3">
        <v>2023</v>
      </c>
      <c r="F1158" s="3">
        <v>1</v>
      </c>
      <c r="G1158" s="3" t="s">
        <v>42</v>
      </c>
      <c r="H1158" s="3" t="s">
        <v>46</v>
      </c>
      <c r="I1158" s="5">
        <v>56320</v>
      </c>
      <c r="J1158" s="3">
        <v>0</v>
      </c>
      <c r="K1158" s="3">
        <v>56320</v>
      </c>
      <c r="L1158" s="3">
        <v>33792</v>
      </c>
      <c r="M1158" s="3">
        <v>22528</v>
      </c>
      <c r="N1158" s="3">
        <v>0</v>
      </c>
      <c r="O1158" s="3">
        <f t="shared" si="19"/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22528</v>
      </c>
      <c r="Y1158" s="3">
        <v>0</v>
      </c>
      <c r="Z1158" s="3">
        <v>1347.83</v>
      </c>
      <c r="AA1158" s="3">
        <v>-1347.83</v>
      </c>
      <c r="AB1158" s="3">
        <v>0</v>
      </c>
      <c r="AC1158" s="3">
        <v>0</v>
      </c>
      <c r="AD1158" s="3">
        <v>0</v>
      </c>
      <c r="AE1158" s="3">
        <v>21180.17</v>
      </c>
      <c r="AF1158" s="3">
        <v>0</v>
      </c>
      <c r="AG1158" s="3">
        <v>21180.17</v>
      </c>
      <c r="AH1158" s="3">
        <v>21180.17</v>
      </c>
      <c r="AI1158" s="3">
        <v>0</v>
      </c>
      <c r="AJ1158" s="3">
        <v>0</v>
      </c>
    </row>
    <row r="1159" spans="1:36" x14ac:dyDescent="0.2">
      <c r="A1159" s="3" t="s">
        <v>75</v>
      </c>
      <c r="B1159" s="3" t="s">
        <v>83</v>
      </c>
      <c r="C1159" s="3" t="s">
        <v>127</v>
      </c>
      <c r="D1159" s="3">
        <v>3</v>
      </c>
      <c r="E1159" s="3">
        <v>2023</v>
      </c>
      <c r="F1159" s="3">
        <v>1</v>
      </c>
      <c r="G1159" s="3" t="s">
        <v>42</v>
      </c>
      <c r="H1159" s="3" t="s">
        <v>46</v>
      </c>
      <c r="I1159" s="5">
        <v>89400</v>
      </c>
      <c r="J1159" s="3">
        <v>19120</v>
      </c>
      <c r="K1159" s="3">
        <v>70280</v>
      </c>
      <c r="L1159" s="3">
        <v>53640</v>
      </c>
      <c r="M1159" s="3">
        <v>16640</v>
      </c>
      <c r="N1159" s="3">
        <v>0</v>
      </c>
      <c r="O1159" s="3">
        <f t="shared" si="19"/>
        <v>0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3">
        <v>16640</v>
      </c>
      <c r="Y1159" s="3">
        <v>0</v>
      </c>
      <c r="Z1159" s="3">
        <v>1792.96</v>
      </c>
      <c r="AA1159" s="3">
        <v>-1792.96</v>
      </c>
      <c r="AB1159" s="3">
        <v>0</v>
      </c>
      <c r="AC1159" s="3">
        <v>0</v>
      </c>
      <c r="AD1159" s="3">
        <v>0</v>
      </c>
      <c r="AE1159" s="3">
        <v>14847.039999999999</v>
      </c>
      <c r="AF1159" s="3">
        <v>0</v>
      </c>
      <c r="AG1159" s="3">
        <v>14847.039999999999</v>
      </c>
      <c r="AH1159" s="3">
        <v>14847.039999999999</v>
      </c>
      <c r="AI1159" s="3">
        <v>0</v>
      </c>
      <c r="AJ1159" s="3">
        <v>0</v>
      </c>
    </row>
    <row r="1160" spans="1:36" x14ac:dyDescent="0.2">
      <c r="A1160" s="3" t="s">
        <v>75</v>
      </c>
      <c r="B1160" s="3" t="s">
        <v>83</v>
      </c>
      <c r="C1160" s="3" t="s">
        <v>127</v>
      </c>
      <c r="D1160" s="3">
        <v>2</v>
      </c>
      <c r="E1160" s="3">
        <v>2023</v>
      </c>
      <c r="F1160" s="3">
        <v>1</v>
      </c>
      <c r="G1160" s="3" t="s">
        <v>48</v>
      </c>
      <c r="H1160" s="3" t="s">
        <v>46</v>
      </c>
      <c r="I1160" s="5">
        <v>14513171.16</v>
      </c>
      <c r="J1160" s="3">
        <v>517551.16000000003</v>
      </c>
      <c r="K1160" s="3">
        <v>13995620</v>
      </c>
      <c r="L1160" s="3">
        <v>8973795.5</v>
      </c>
      <c r="M1160" s="3">
        <v>5021824.5</v>
      </c>
      <c r="N1160" s="3">
        <v>5511472.9100000001</v>
      </c>
      <c r="O1160" s="3">
        <f t="shared" si="19"/>
        <v>39.379983952122167</v>
      </c>
      <c r="P1160" s="3">
        <v>2690541.9699999997</v>
      </c>
      <c r="Q1160" s="3">
        <v>349813.77</v>
      </c>
      <c r="R1160" s="3">
        <v>1001275.24</v>
      </c>
      <c r="S1160" s="3">
        <v>96412.05</v>
      </c>
      <c r="T1160" s="3">
        <v>255681.52</v>
      </c>
      <c r="U1160" s="3">
        <v>350944.27</v>
      </c>
      <c r="V1160" s="3">
        <v>766804.09</v>
      </c>
      <c r="W1160" s="3">
        <v>0</v>
      </c>
      <c r="X1160" s="3">
        <v>-489648.41000000003</v>
      </c>
      <c r="Y1160" s="3">
        <v>337.84872820137758</v>
      </c>
      <c r="Z1160" s="3">
        <v>1118990.6399999999</v>
      </c>
      <c r="AA1160" s="3">
        <v>-1118652.7912717985</v>
      </c>
      <c r="AB1160" s="3">
        <v>10050</v>
      </c>
      <c r="AC1160" s="3">
        <v>10050</v>
      </c>
      <c r="AD1160" s="3">
        <v>0</v>
      </c>
      <c r="AE1160" s="3">
        <v>-1608301.2012717987</v>
      </c>
      <c r="AF1160" s="3">
        <v>0</v>
      </c>
      <c r="AG1160" s="3">
        <v>-1608301.2012717987</v>
      </c>
      <c r="AH1160" s="3">
        <v>-1608301.2012717987</v>
      </c>
      <c r="AI1160" s="3">
        <v>20000000</v>
      </c>
      <c r="AJ1160" s="3">
        <v>0</v>
      </c>
    </row>
    <row r="1161" spans="1:36" x14ac:dyDescent="0.2">
      <c r="A1161" s="3" t="s">
        <v>75</v>
      </c>
      <c r="B1161" s="3" t="s">
        <v>83</v>
      </c>
      <c r="C1161" s="3" t="s">
        <v>127</v>
      </c>
      <c r="D1161" s="3">
        <v>3</v>
      </c>
      <c r="E1161" s="3">
        <v>2023</v>
      </c>
      <c r="F1161" s="3">
        <v>1</v>
      </c>
      <c r="G1161" s="3" t="s">
        <v>48</v>
      </c>
      <c r="H1161" s="3" t="s">
        <v>46</v>
      </c>
      <c r="I1161" s="5">
        <v>25709020.049999997</v>
      </c>
      <c r="J1161" s="3">
        <v>1646107.0499999998</v>
      </c>
      <c r="K1161" s="3">
        <v>24062913</v>
      </c>
      <c r="L1161" s="3">
        <v>15990355.731000002</v>
      </c>
      <c r="M1161" s="3">
        <v>8072557.2690000003</v>
      </c>
      <c r="N1161" s="3">
        <v>11722139.1</v>
      </c>
      <c r="O1161" s="3">
        <f t="shared" si="19"/>
        <v>48.7145471539543</v>
      </c>
      <c r="P1161" s="3">
        <v>5650138.1370000001</v>
      </c>
      <c r="Q1161" s="3">
        <v>1488353.034</v>
      </c>
      <c r="R1161" s="3">
        <v>1998532.0109999999</v>
      </c>
      <c r="S1161" s="3">
        <v>469934.51399999997</v>
      </c>
      <c r="T1161" s="3">
        <v>776616.05700000003</v>
      </c>
      <c r="U1161" s="3">
        <v>385880.96399999992</v>
      </c>
      <c r="V1161" s="3">
        <v>952684.38299999991</v>
      </c>
      <c r="W1161" s="3">
        <v>0</v>
      </c>
      <c r="X1161" s="3">
        <v>-3649581.8310000002</v>
      </c>
      <c r="Y1161" s="3">
        <v>508.51780035977515</v>
      </c>
      <c r="Z1161" s="3">
        <v>2264220.3360000001</v>
      </c>
      <c r="AA1161" s="3">
        <v>-2263711.8181996406</v>
      </c>
      <c r="AB1161" s="3">
        <v>8820</v>
      </c>
      <c r="AC1161" s="3">
        <v>8820</v>
      </c>
      <c r="AD1161" s="3">
        <v>0</v>
      </c>
      <c r="AE1161" s="3">
        <v>-5913293.6491996404</v>
      </c>
      <c r="AF1161" s="3">
        <v>0</v>
      </c>
      <c r="AG1161" s="3">
        <v>-5913293.6491996404</v>
      </c>
      <c r="AH1161" s="3">
        <v>-5913293.6491996404</v>
      </c>
      <c r="AI1161" s="3">
        <v>42000000</v>
      </c>
      <c r="AJ1161" s="3">
        <v>0</v>
      </c>
    </row>
    <row r="1162" spans="1:36" x14ac:dyDescent="0.2">
      <c r="A1162" s="3" t="s">
        <v>75</v>
      </c>
      <c r="B1162" s="3" t="s">
        <v>83</v>
      </c>
      <c r="C1162" s="3" t="s">
        <v>127</v>
      </c>
      <c r="D1162" s="3">
        <v>1</v>
      </c>
      <c r="E1162" s="3">
        <v>2023</v>
      </c>
      <c r="F1162" s="3">
        <v>1</v>
      </c>
      <c r="G1162" s="3" t="s">
        <v>48</v>
      </c>
      <c r="H1162" s="3" t="s">
        <v>46</v>
      </c>
      <c r="I1162" s="5">
        <v>58096920</v>
      </c>
      <c r="J1162" s="3">
        <v>2500974</v>
      </c>
      <c r="K1162" s="3">
        <v>55595946</v>
      </c>
      <c r="L1162" s="3">
        <v>38792926.913999997</v>
      </c>
      <c r="M1162" s="3">
        <v>16803019.086000003</v>
      </c>
      <c r="N1162" s="3">
        <v>12019378.035</v>
      </c>
      <c r="O1162" s="3">
        <f t="shared" si="19"/>
        <v>21.619162726361381</v>
      </c>
      <c r="P1162" s="3">
        <v>5650138.1999999993</v>
      </c>
      <c r="Q1162" s="3">
        <v>751031.652</v>
      </c>
      <c r="R1162" s="3">
        <v>2231964.9870000002</v>
      </c>
      <c r="S1162" s="3">
        <v>210183.41400000002</v>
      </c>
      <c r="T1162" s="3">
        <v>230851.82400000002</v>
      </c>
      <c r="U1162" s="3">
        <v>1365086.709</v>
      </c>
      <c r="V1162" s="3">
        <v>1580121.2489999998</v>
      </c>
      <c r="W1162" s="3">
        <v>0</v>
      </c>
      <c r="X1162" s="3">
        <v>4783641.0510000009</v>
      </c>
      <c r="Y1162" s="3">
        <v>1561.1094730839707</v>
      </c>
      <c r="Z1162" s="3">
        <v>1761950.2320000003</v>
      </c>
      <c r="AA1162" s="3">
        <v>-1760389.122526916</v>
      </c>
      <c r="AB1162" s="3">
        <v>15120</v>
      </c>
      <c r="AC1162" s="3">
        <v>15120</v>
      </c>
      <c r="AD1162" s="3">
        <v>0</v>
      </c>
      <c r="AE1162" s="3">
        <v>3023251.9284730842</v>
      </c>
      <c r="AF1162" s="3">
        <v>0</v>
      </c>
      <c r="AG1162" s="3">
        <v>3023251.9284730842</v>
      </c>
      <c r="AH1162" s="3">
        <v>3023251.9284730842</v>
      </c>
      <c r="AI1162" s="3">
        <v>42210000</v>
      </c>
      <c r="AJ1162" s="3">
        <v>0</v>
      </c>
    </row>
    <row r="1163" spans="1:36" x14ac:dyDescent="0.2">
      <c r="A1163" s="3" t="s">
        <v>75</v>
      </c>
      <c r="B1163" s="3" t="s">
        <v>83</v>
      </c>
      <c r="C1163" s="3" t="s">
        <v>127</v>
      </c>
      <c r="D1163" s="3">
        <v>2</v>
      </c>
      <c r="E1163" s="3">
        <v>2023</v>
      </c>
      <c r="F1163" s="3">
        <v>1</v>
      </c>
      <c r="G1163" s="3" t="s">
        <v>39</v>
      </c>
      <c r="H1163" s="3" t="s">
        <v>46</v>
      </c>
      <c r="I1163" s="5">
        <v>152575916.19946024</v>
      </c>
      <c r="J1163" s="3">
        <v>0</v>
      </c>
      <c r="K1163" s="3">
        <v>152575916.19946024</v>
      </c>
      <c r="L1163" s="3">
        <v>152004564.50574133</v>
      </c>
      <c r="M1163" s="3">
        <v>571351.69371891022</v>
      </c>
      <c r="N1163" s="3">
        <v>360186.17599999992</v>
      </c>
      <c r="O1163" s="3">
        <f t="shared" si="19"/>
        <v>0.23607013804795629</v>
      </c>
      <c r="P1163" s="3">
        <v>119794.09399999998</v>
      </c>
      <c r="Q1163" s="3">
        <v>14484.624</v>
      </c>
      <c r="R1163" s="3">
        <v>97089.66399999999</v>
      </c>
      <c r="S1163" s="3">
        <v>2269.75</v>
      </c>
      <c r="T1163" s="3">
        <v>48761.621999999988</v>
      </c>
      <c r="U1163" s="3">
        <v>53759.943999999996</v>
      </c>
      <c r="V1163" s="3">
        <v>24026.477999999996</v>
      </c>
      <c r="W1163" s="3">
        <v>0</v>
      </c>
      <c r="X1163" s="3">
        <v>211165.51771891018</v>
      </c>
      <c r="Y1163" s="3">
        <v>0</v>
      </c>
      <c r="Z1163" s="3">
        <v>0</v>
      </c>
      <c r="AA1163" s="3">
        <v>0</v>
      </c>
      <c r="AB1163" s="3">
        <v>3780</v>
      </c>
      <c r="AC1163" s="3">
        <v>2133.6000000000004</v>
      </c>
      <c r="AD1163" s="3">
        <v>1646.3999999999999</v>
      </c>
      <c r="AE1163" s="3">
        <v>212811.9177189102</v>
      </c>
      <c r="AF1163" s="3">
        <v>0</v>
      </c>
      <c r="AG1163" s="3">
        <v>212811.9177189102</v>
      </c>
      <c r="AH1163" s="3">
        <v>212811.9177189102</v>
      </c>
      <c r="AI1163" s="3">
        <v>152575916.19946024</v>
      </c>
      <c r="AJ1163" s="3">
        <v>136680.54926330422</v>
      </c>
    </row>
    <row r="1164" spans="1:36" x14ac:dyDescent="0.2">
      <c r="A1164" s="3" t="s">
        <v>75</v>
      </c>
      <c r="B1164" s="3" t="s">
        <v>83</v>
      </c>
      <c r="C1164" s="3" t="s">
        <v>127</v>
      </c>
      <c r="D1164" s="3">
        <v>3</v>
      </c>
      <c r="E1164" s="3">
        <v>2023</v>
      </c>
      <c r="F1164" s="3">
        <v>1</v>
      </c>
      <c r="G1164" s="3" t="s">
        <v>39</v>
      </c>
      <c r="H1164" s="3" t="s">
        <v>46</v>
      </c>
      <c r="I1164" s="5">
        <v>157708515.32171547</v>
      </c>
      <c r="J1164" s="3">
        <v>0</v>
      </c>
      <c r="K1164" s="3">
        <v>157708515.32171547</v>
      </c>
      <c r="L1164" s="3">
        <v>156807302.28900456</v>
      </c>
      <c r="M1164" s="3">
        <v>901213.03271090123</v>
      </c>
      <c r="N1164" s="3">
        <v>614005.47</v>
      </c>
      <c r="O1164" s="3">
        <f t="shared" si="19"/>
        <v>0.38932930713821468</v>
      </c>
      <c r="P1164" s="3">
        <v>196804.58299999998</v>
      </c>
      <c r="Q1164" s="3">
        <v>50035.993999999992</v>
      </c>
      <c r="R1164" s="3">
        <v>145020.93399999998</v>
      </c>
      <c r="S1164" s="3">
        <v>3728.875</v>
      </c>
      <c r="T1164" s="3">
        <v>104775.39600000001</v>
      </c>
      <c r="U1164" s="3">
        <v>90211.473999999987</v>
      </c>
      <c r="V1164" s="3">
        <v>23428.214</v>
      </c>
      <c r="W1164" s="3">
        <v>0</v>
      </c>
      <c r="X1164" s="3">
        <v>287207.5627109012</v>
      </c>
      <c r="Y1164" s="3">
        <v>0</v>
      </c>
      <c r="Z1164" s="3">
        <v>0</v>
      </c>
      <c r="AA1164" s="3">
        <v>0</v>
      </c>
      <c r="AB1164" s="3">
        <v>5520</v>
      </c>
      <c r="AC1164" s="3">
        <v>1168.3999999999999</v>
      </c>
      <c r="AD1164" s="3">
        <v>4351.5999999999995</v>
      </c>
      <c r="AE1164" s="3">
        <v>291559.16271090123</v>
      </c>
      <c r="AF1164" s="3">
        <v>0</v>
      </c>
      <c r="AG1164" s="3">
        <v>291559.16271090123</v>
      </c>
      <c r="AH1164" s="3">
        <v>291559.16271090123</v>
      </c>
      <c r="AI1164" s="3">
        <v>157708515.32171547</v>
      </c>
      <c r="AJ1164" s="3">
        <v>224546.61664685688</v>
      </c>
    </row>
    <row r="1165" spans="1:36" x14ac:dyDescent="0.2">
      <c r="A1165" s="3" t="s">
        <v>75</v>
      </c>
      <c r="B1165" s="3" t="s">
        <v>83</v>
      </c>
      <c r="C1165" s="3" t="s">
        <v>127</v>
      </c>
      <c r="D1165" s="3">
        <v>1</v>
      </c>
      <c r="E1165" s="3">
        <v>2023</v>
      </c>
      <c r="F1165" s="3">
        <v>1</v>
      </c>
      <c r="G1165" s="3" t="s">
        <v>39</v>
      </c>
      <c r="H1165" s="3" t="s">
        <v>46</v>
      </c>
      <c r="I1165" s="5">
        <v>202863370.73784405</v>
      </c>
      <c r="J1165" s="3">
        <v>0</v>
      </c>
      <c r="K1165" s="3">
        <v>202863370.73784405</v>
      </c>
      <c r="L1165" s="3">
        <v>202536438.04829693</v>
      </c>
      <c r="M1165" s="3">
        <v>326932.68954714201</v>
      </c>
      <c r="N1165" s="3">
        <v>383753.88</v>
      </c>
      <c r="O1165" s="3">
        <f t="shared" si="19"/>
        <v>0.18916864025488211</v>
      </c>
      <c r="P1165" s="3">
        <v>154020.978</v>
      </c>
      <c r="Q1165" s="3">
        <v>19070.495999999999</v>
      </c>
      <c r="R1165" s="3">
        <v>120862.368</v>
      </c>
      <c r="S1165" s="3">
        <v>2918.25</v>
      </c>
      <c r="T1165" s="3">
        <v>23486.112000000001</v>
      </c>
      <c r="U1165" s="3">
        <v>33151.913999999997</v>
      </c>
      <c r="V1165" s="3">
        <v>30243.762000000002</v>
      </c>
      <c r="W1165" s="3">
        <v>0</v>
      </c>
      <c r="X1165" s="3">
        <v>-56821.190452857976</v>
      </c>
      <c r="Y1165" s="3">
        <v>0</v>
      </c>
      <c r="Z1165" s="3">
        <v>0</v>
      </c>
      <c r="AA1165" s="3">
        <v>0</v>
      </c>
      <c r="AB1165" s="3">
        <v>13410</v>
      </c>
      <c r="AC1165" s="3">
        <v>5943.6</v>
      </c>
      <c r="AD1165" s="3">
        <v>7466.4</v>
      </c>
      <c r="AE1165" s="3">
        <v>-49354.790452857982</v>
      </c>
      <c r="AF1165" s="3">
        <v>0</v>
      </c>
      <c r="AG1165" s="3">
        <v>-49354.790452857982</v>
      </c>
      <c r="AH1165" s="3">
        <v>-49354.790452857982</v>
      </c>
      <c r="AI1165" s="3">
        <v>517863370.73784411</v>
      </c>
      <c r="AJ1165" s="3">
        <v>175732.13476710542</v>
      </c>
    </row>
    <row r="1166" spans="1:36" x14ac:dyDescent="0.2">
      <c r="A1166" s="3" t="s">
        <v>75</v>
      </c>
      <c r="B1166" s="3" t="s">
        <v>83</v>
      </c>
      <c r="C1166" s="3" t="s">
        <v>128</v>
      </c>
      <c r="D1166" s="3">
        <v>1</v>
      </c>
      <c r="E1166" s="3">
        <v>2023</v>
      </c>
      <c r="F1166" s="3">
        <v>1</v>
      </c>
      <c r="G1166" s="3" t="s">
        <v>42</v>
      </c>
      <c r="H1166" s="3" t="s">
        <v>46</v>
      </c>
      <c r="I1166" s="5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 t="e">
        <f t="shared" si="19"/>
        <v>#DIV/0!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4119.5439999999999</v>
      </c>
      <c r="AA1166" s="3">
        <v>-4119.5439999999999</v>
      </c>
      <c r="AB1166" s="3">
        <v>0</v>
      </c>
      <c r="AC1166" s="3">
        <v>0</v>
      </c>
      <c r="AD1166" s="3">
        <v>0</v>
      </c>
      <c r="AE1166" s="3">
        <v>-4119.5439999999999</v>
      </c>
      <c r="AF1166" s="3">
        <v>0</v>
      </c>
      <c r="AG1166" s="3">
        <v>-4119.5439999999999</v>
      </c>
      <c r="AH1166" s="3">
        <v>-4119.5439999999999</v>
      </c>
      <c r="AI1166" s="3">
        <v>0</v>
      </c>
      <c r="AJ1166" s="3">
        <v>0</v>
      </c>
    </row>
    <row r="1167" spans="1:36" x14ac:dyDescent="0.2">
      <c r="A1167" s="3" t="s">
        <v>75</v>
      </c>
      <c r="B1167" s="3" t="s">
        <v>83</v>
      </c>
      <c r="C1167" s="3" t="s">
        <v>128</v>
      </c>
      <c r="D1167" s="3">
        <v>2</v>
      </c>
      <c r="E1167" s="3">
        <v>2023</v>
      </c>
      <c r="F1167" s="3">
        <v>1</v>
      </c>
      <c r="G1167" s="3" t="s">
        <v>42</v>
      </c>
      <c r="H1167" s="3" t="s">
        <v>46</v>
      </c>
      <c r="I1167" s="5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 t="e">
        <f t="shared" si="19"/>
        <v>#DIV/0!</v>
      </c>
      <c r="P1167" s="3">
        <v>0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3745.04</v>
      </c>
      <c r="AA1167" s="3">
        <v>-3745.04</v>
      </c>
      <c r="AB1167" s="3">
        <v>0</v>
      </c>
      <c r="AC1167" s="3">
        <v>0</v>
      </c>
      <c r="AD1167" s="3">
        <v>0</v>
      </c>
      <c r="AE1167" s="3">
        <v>-3745.04</v>
      </c>
      <c r="AF1167" s="3">
        <v>0</v>
      </c>
      <c r="AG1167" s="3">
        <v>-3745.04</v>
      </c>
      <c r="AH1167" s="3">
        <v>-3745.04</v>
      </c>
      <c r="AI1167" s="3">
        <v>0</v>
      </c>
      <c r="AJ1167" s="3">
        <v>0</v>
      </c>
    </row>
    <row r="1168" spans="1:36" x14ac:dyDescent="0.2">
      <c r="A1168" s="3" t="s">
        <v>75</v>
      </c>
      <c r="B1168" s="3" t="s">
        <v>83</v>
      </c>
      <c r="C1168" s="3" t="s">
        <v>128</v>
      </c>
      <c r="D1168" s="3">
        <v>3</v>
      </c>
      <c r="E1168" s="3">
        <v>2023</v>
      </c>
      <c r="F1168" s="3">
        <v>1</v>
      </c>
      <c r="G1168" s="3" t="s">
        <v>42</v>
      </c>
      <c r="H1168" s="3" t="s">
        <v>46</v>
      </c>
      <c r="I1168" s="5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  <c r="O1168" s="3" t="e">
        <f t="shared" si="19"/>
        <v>#DIV/0!</v>
      </c>
      <c r="P1168" s="3">
        <v>0</v>
      </c>
      <c r="Q1168" s="3">
        <v>0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5055.8040000000001</v>
      </c>
      <c r="AA1168" s="3">
        <v>-5055.8040000000001</v>
      </c>
      <c r="AB1168" s="3">
        <v>0</v>
      </c>
      <c r="AC1168" s="3">
        <v>0</v>
      </c>
      <c r="AD1168" s="3">
        <v>0</v>
      </c>
      <c r="AE1168" s="3">
        <v>-5055.8040000000001</v>
      </c>
      <c r="AF1168" s="3">
        <v>0</v>
      </c>
      <c r="AG1168" s="3">
        <v>-5055.8040000000001</v>
      </c>
      <c r="AH1168" s="3">
        <v>-5055.8040000000001</v>
      </c>
      <c r="AI1168" s="3">
        <v>0</v>
      </c>
      <c r="AJ1168" s="3">
        <v>0</v>
      </c>
    </row>
    <row r="1169" spans="1:36" x14ac:dyDescent="0.2">
      <c r="A1169" s="3" t="s">
        <v>75</v>
      </c>
      <c r="B1169" s="3" t="s">
        <v>83</v>
      </c>
      <c r="C1169" s="3" t="s">
        <v>128</v>
      </c>
      <c r="D1169" s="3">
        <v>3</v>
      </c>
      <c r="E1169" s="3">
        <v>2023</v>
      </c>
      <c r="F1169" s="3">
        <v>1</v>
      </c>
      <c r="G1169" s="3" t="s">
        <v>48</v>
      </c>
      <c r="H1169" s="3" t="s">
        <v>46</v>
      </c>
      <c r="I1169" s="5">
        <v>1425808</v>
      </c>
      <c r="J1169" s="3">
        <v>126832</v>
      </c>
      <c r="K1169" s="3">
        <v>1298976</v>
      </c>
      <c r="L1169" s="3">
        <v>761235.40800000005</v>
      </c>
      <c r="M1169" s="3">
        <v>537740.59200000006</v>
      </c>
      <c r="N1169" s="3">
        <v>2602614.7520000003</v>
      </c>
      <c r="O1169" s="3">
        <f t="shared" si="19"/>
        <v>200.35895597763164</v>
      </c>
      <c r="P1169" s="3">
        <v>927190.88</v>
      </c>
      <c r="Q1169" s="3">
        <v>774809.71200000006</v>
      </c>
      <c r="R1169" s="3">
        <v>489370.65600000002</v>
      </c>
      <c r="S1169" s="3">
        <v>57312.816000000006</v>
      </c>
      <c r="T1169" s="3">
        <v>126646.70400000001</v>
      </c>
      <c r="U1169" s="3">
        <v>31435.200000000001</v>
      </c>
      <c r="V1169" s="3">
        <v>195848.78400000001</v>
      </c>
      <c r="W1169" s="3">
        <v>0</v>
      </c>
      <c r="X1169" s="3">
        <v>-2064874.16</v>
      </c>
      <c r="Y1169" s="3">
        <v>33.874106295671709</v>
      </c>
      <c r="Z1169" s="3">
        <v>450683.79200000002</v>
      </c>
      <c r="AA1169" s="3">
        <v>-450649.91789370438</v>
      </c>
      <c r="AB1169" s="3">
        <v>0</v>
      </c>
      <c r="AC1169" s="3">
        <v>0</v>
      </c>
      <c r="AD1169" s="3">
        <v>0</v>
      </c>
      <c r="AE1169" s="3">
        <v>-2515524.0778937046</v>
      </c>
      <c r="AF1169" s="3">
        <v>0</v>
      </c>
      <c r="AG1169" s="3">
        <v>-2515524.0778937046</v>
      </c>
      <c r="AH1169" s="3">
        <v>-2515524.0778937046</v>
      </c>
      <c r="AI1169" s="3">
        <v>7360000</v>
      </c>
      <c r="AJ1169" s="3">
        <v>0</v>
      </c>
    </row>
    <row r="1170" spans="1:36" x14ac:dyDescent="0.2">
      <c r="A1170" s="3" t="s">
        <v>75</v>
      </c>
      <c r="B1170" s="3" t="s">
        <v>83</v>
      </c>
      <c r="C1170" s="3" t="s">
        <v>128</v>
      </c>
      <c r="D1170" s="3">
        <v>2</v>
      </c>
      <c r="E1170" s="3">
        <v>2023</v>
      </c>
      <c r="F1170" s="3">
        <v>1</v>
      </c>
      <c r="G1170" s="3" t="s">
        <v>48</v>
      </c>
      <c r="H1170" s="3" t="s">
        <v>46</v>
      </c>
      <c r="I1170" s="5">
        <v>8867838</v>
      </c>
      <c r="J1170" s="3">
        <v>703867.5</v>
      </c>
      <c r="K1170" s="3">
        <v>8163970.5</v>
      </c>
      <c r="L1170" s="3">
        <v>4562940.7320000008</v>
      </c>
      <c r="M1170" s="3">
        <v>3601029.7680000002</v>
      </c>
      <c r="N1170" s="3">
        <v>3701341.14</v>
      </c>
      <c r="O1170" s="3">
        <f t="shared" si="19"/>
        <v>45.33751242731708</v>
      </c>
      <c r="P1170" s="3">
        <v>1301648.4810000001</v>
      </c>
      <c r="Q1170" s="3">
        <v>1016937.7470000001</v>
      </c>
      <c r="R1170" s="3">
        <v>853947.31799999997</v>
      </c>
      <c r="S1170" s="3">
        <v>54029.870999999999</v>
      </c>
      <c r="T1170" s="3">
        <v>210386.48400000003</v>
      </c>
      <c r="U1170" s="3">
        <v>181914.36900000001</v>
      </c>
      <c r="V1170" s="3">
        <v>82476.87</v>
      </c>
      <c r="W1170" s="3">
        <v>0</v>
      </c>
      <c r="X1170" s="3">
        <v>-100311.372</v>
      </c>
      <c r="Y1170" s="3">
        <v>242.26321077809502</v>
      </c>
      <c r="Z1170" s="3">
        <v>530063.5830000001</v>
      </c>
      <c r="AA1170" s="3">
        <v>-529821.31978922198</v>
      </c>
      <c r="AB1170" s="3">
        <v>0</v>
      </c>
      <c r="AC1170" s="3">
        <v>0</v>
      </c>
      <c r="AD1170" s="3">
        <v>0</v>
      </c>
      <c r="AE1170" s="3">
        <v>-630132.69178922195</v>
      </c>
      <c r="AF1170" s="3">
        <v>0</v>
      </c>
      <c r="AG1170" s="3">
        <v>-630132.69178922195</v>
      </c>
      <c r="AH1170" s="3">
        <v>-630132.69178922195</v>
      </c>
      <c r="AI1170" s="3">
        <v>11550000</v>
      </c>
      <c r="AJ1170" s="3">
        <v>0</v>
      </c>
    </row>
    <row r="1171" spans="1:36" x14ac:dyDescent="0.2">
      <c r="A1171" s="3" t="s">
        <v>75</v>
      </c>
      <c r="B1171" s="3" t="s">
        <v>83</v>
      </c>
      <c r="C1171" s="3" t="s">
        <v>128</v>
      </c>
      <c r="D1171" s="3">
        <v>1</v>
      </c>
      <c r="E1171" s="3">
        <v>2023</v>
      </c>
      <c r="F1171" s="3">
        <v>1</v>
      </c>
      <c r="G1171" s="3" t="s">
        <v>48</v>
      </c>
      <c r="H1171" s="3" t="s">
        <v>46</v>
      </c>
      <c r="I1171" s="5">
        <v>20853531.000000004</v>
      </c>
      <c r="J1171" s="3">
        <v>2372814</v>
      </c>
      <c r="K1171" s="3">
        <v>18480717</v>
      </c>
      <c r="L1171" s="3">
        <v>14079347.640000001</v>
      </c>
      <c r="M1171" s="3">
        <v>4401369.3599999994</v>
      </c>
      <c r="N1171" s="3">
        <v>3707064.3060000003</v>
      </c>
      <c r="O1171" s="3">
        <f t="shared" si="19"/>
        <v>20.059093518936525</v>
      </c>
      <c r="P1171" s="3">
        <v>774131.9580000001</v>
      </c>
      <c r="Q1171" s="3">
        <v>682302.69</v>
      </c>
      <c r="R1171" s="3">
        <v>1234830.987</v>
      </c>
      <c r="S1171" s="3">
        <v>78831.332999999999</v>
      </c>
      <c r="T1171" s="3">
        <v>580196.97900000005</v>
      </c>
      <c r="U1171" s="3">
        <v>261616.58100000001</v>
      </c>
      <c r="V1171" s="3">
        <v>95153.778000000006</v>
      </c>
      <c r="W1171" s="3">
        <v>0</v>
      </c>
      <c r="X1171" s="3">
        <v>694305.05400000012</v>
      </c>
      <c r="Y1171" s="3">
        <v>408.9157649152678</v>
      </c>
      <c r="Z1171" s="3">
        <v>622058.21100000001</v>
      </c>
      <c r="AA1171" s="3">
        <v>-621649.29523508472</v>
      </c>
      <c r="AB1171" s="3">
        <v>0</v>
      </c>
      <c r="AC1171" s="3">
        <v>0</v>
      </c>
      <c r="AD1171" s="3">
        <v>0</v>
      </c>
      <c r="AE1171" s="3">
        <v>72655.758764915285</v>
      </c>
      <c r="AF1171" s="3">
        <v>0</v>
      </c>
      <c r="AG1171" s="3">
        <v>72655.758764915285</v>
      </c>
      <c r="AH1171" s="3">
        <v>72655.758764915285</v>
      </c>
      <c r="AI1171" s="3">
        <v>14310000</v>
      </c>
      <c r="AJ1171" s="3">
        <v>0</v>
      </c>
    </row>
    <row r="1172" spans="1:36" x14ac:dyDescent="0.2">
      <c r="A1172" s="3" t="s">
        <v>75</v>
      </c>
      <c r="B1172" s="3" t="s">
        <v>83</v>
      </c>
      <c r="C1172" s="3" t="s">
        <v>129</v>
      </c>
      <c r="D1172" s="3">
        <v>1</v>
      </c>
      <c r="E1172" s="3">
        <v>2023</v>
      </c>
      <c r="F1172" s="3">
        <v>1</v>
      </c>
      <c r="G1172" s="3" t="s">
        <v>42</v>
      </c>
      <c r="H1172" s="3" t="s">
        <v>46</v>
      </c>
      <c r="I1172" s="5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 t="e">
        <f t="shared" si="19"/>
        <v>#DIV/0!</v>
      </c>
      <c r="P1172" s="3">
        <v>0</v>
      </c>
      <c r="Q1172" s="3">
        <v>0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3">
        <v>0</v>
      </c>
      <c r="AA1172" s="3">
        <v>0</v>
      </c>
      <c r="AB1172" s="3">
        <v>0</v>
      </c>
      <c r="AC1172" s="3">
        <v>0</v>
      </c>
      <c r="AD1172" s="3">
        <v>0</v>
      </c>
      <c r="AE1172" s="3">
        <v>0</v>
      </c>
      <c r="AF1172" s="3">
        <v>0</v>
      </c>
      <c r="AG1172" s="3">
        <v>0</v>
      </c>
      <c r="AH1172" s="3">
        <v>0</v>
      </c>
      <c r="AI1172" s="3">
        <v>0</v>
      </c>
      <c r="AJ1172" s="3">
        <v>0</v>
      </c>
    </row>
    <row r="1173" spans="1:36" x14ac:dyDescent="0.2">
      <c r="A1173" s="3" t="s">
        <v>75</v>
      </c>
      <c r="B1173" s="3" t="s">
        <v>83</v>
      </c>
      <c r="C1173" s="3" t="s">
        <v>129</v>
      </c>
      <c r="D1173" s="3">
        <v>1</v>
      </c>
      <c r="E1173" s="3">
        <v>2023</v>
      </c>
      <c r="F1173" s="3">
        <v>1</v>
      </c>
      <c r="G1173" s="3" t="s">
        <v>42</v>
      </c>
      <c r="H1173" s="3" t="s">
        <v>40</v>
      </c>
      <c r="I1173" s="5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 t="e">
        <f t="shared" si="19"/>
        <v>#DIV/0!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  <c r="AB1173" s="3">
        <v>0</v>
      </c>
      <c r="AC1173" s="3">
        <v>0</v>
      </c>
      <c r="AD1173" s="3">
        <v>0</v>
      </c>
      <c r="AE1173" s="3">
        <v>0</v>
      </c>
      <c r="AF1173" s="3">
        <v>0</v>
      </c>
      <c r="AG1173" s="3">
        <v>0</v>
      </c>
      <c r="AH1173" s="3">
        <v>0</v>
      </c>
      <c r="AI1173" s="3">
        <v>0</v>
      </c>
      <c r="AJ1173" s="3">
        <v>0</v>
      </c>
    </row>
    <row r="1174" spans="1:36" x14ac:dyDescent="0.2">
      <c r="A1174" s="3" t="s">
        <v>75</v>
      </c>
      <c r="B1174" s="3" t="s">
        <v>83</v>
      </c>
      <c r="C1174" s="3" t="s">
        <v>129</v>
      </c>
      <c r="D1174" s="3">
        <v>1</v>
      </c>
      <c r="E1174" s="3">
        <v>2023</v>
      </c>
      <c r="F1174" s="3">
        <v>1</v>
      </c>
      <c r="G1174" s="3" t="s">
        <v>39</v>
      </c>
      <c r="H1174" s="3" t="s">
        <v>46</v>
      </c>
      <c r="I1174" s="5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 t="e">
        <f t="shared" si="19"/>
        <v>#DIV/0!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3">
        <v>0</v>
      </c>
      <c r="AE1174" s="3">
        <v>0</v>
      </c>
      <c r="AF1174" s="3">
        <v>0</v>
      </c>
      <c r="AG1174" s="3">
        <v>0</v>
      </c>
      <c r="AH1174" s="3">
        <v>0</v>
      </c>
      <c r="AI1174" s="3">
        <v>0</v>
      </c>
      <c r="AJ1174" s="3">
        <v>0</v>
      </c>
    </row>
    <row r="1175" spans="1:36" x14ac:dyDescent="0.2">
      <c r="A1175" s="3" t="s">
        <v>75</v>
      </c>
      <c r="B1175" s="3" t="s">
        <v>83</v>
      </c>
      <c r="C1175" s="3" t="s">
        <v>129</v>
      </c>
      <c r="D1175" s="3">
        <v>1</v>
      </c>
      <c r="E1175" s="3">
        <v>2023</v>
      </c>
      <c r="F1175" s="3">
        <v>1</v>
      </c>
      <c r="G1175" s="3" t="s">
        <v>39</v>
      </c>
      <c r="H1175" s="3" t="s">
        <v>40</v>
      </c>
      <c r="I1175" s="5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 t="e">
        <f t="shared" si="19"/>
        <v>#DIV/0!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3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0</v>
      </c>
      <c r="AJ1175" s="3">
        <v>0</v>
      </c>
    </row>
    <row r="1176" spans="1:36" x14ac:dyDescent="0.2">
      <c r="A1176" s="3" t="s">
        <v>75</v>
      </c>
      <c r="B1176" s="3" t="s">
        <v>83</v>
      </c>
      <c r="C1176" s="3" t="s">
        <v>129</v>
      </c>
      <c r="D1176" s="3">
        <v>2</v>
      </c>
      <c r="E1176" s="3">
        <v>2023</v>
      </c>
      <c r="F1176" s="3">
        <v>1</v>
      </c>
      <c r="G1176" s="3" t="s">
        <v>42</v>
      </c>
      <c r="H1176" s="3" t="s">
        <v>46</v>
      </c>
      <c r="I1176" s="5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  <c r="O1176" s="3" t="e">
        <f t="shared" si="19"/>
        <v>#DIV/0!</v>
      </c>
      <c r="P1176" s="3">
        <v>0</v>
      </c>
      <c r="Q1176" s="3">
        <v>0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3">
        <v>0</v>
      </c>
      <c r="AE1176" s="3">
        <v>0</v>
      </c>
      <c r="AF1176" s="3">
        <v>0</v>
      </c>
      <c r="AG1176" s="3">
        <v>0</v>
      </c>
      <c r="AH1176" s="3">
        <v>0</v>
      </c>
      <c r="AI1176" s="3">
        <v>0</v>
      </c>
      <c r="AJ1176" s="3">
        <v>0</v>
      </c>
    </row>
    <row r="1177" spans="1:36" x14ac:dyDescent="0.2">
      <c r="A1177" s="3" t="s">
        <v>75</v>
      </c>
      <c r="B1177" s="3" t="s">
        <v>83</v>
      </c>
      <c r="C1177" s="3" t="s">
        <v>129</v>
      </c>
      <c r="D1177" s="3">
        <v>2</v>
      </c>
      <c r="E1177" s="3">
        <v>2023</v>
      </c>
      <c r="F1177" s="3">
        <v>1</v>
      </c>
      <c r="G1177" s="3" t="s">
        <v>42</v>
      </c>
      <c r="H1177" s="3" t="s">
        <v>40</v>
      </c>
      <c r="I1177" s="5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 t="e">
        <f t="shared" si="19"/>
        <v>#DIV/0!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0</v>
      </c>
      <c r="AB1177" s="3">
        <v>0</v>
      </c>
      <c r="AC1177" s="3">
        <v>0</v>
      </c>
      <c r="AD1177" s="3">
        <v>0</v>
      </c>
      <c r="AE1177" s="3">
        <v>0</v>
      </c>
      <c r="AF1177" s="3">
        <v>0</v>
      </c>
      <c r="AG1177" s="3">
        <v>0</v>
      </c>
      <c r="AH1177" s="3">
        <v>0</v>
      </c>
      <c r="AI1177" s="3">
        <v>0</v>
      </c>
      <c r="AJ1177" s="3">
        <v>0</v>
      </c>
    </row>
    <row r="1178" spans="1:36" x14ac:dyDescent="0.2">
      <c r="A1178" s="3" t="s">
        <v>75</v>
      </c>
      <c r="B1178" s="3" t="s">
        <v>83</v>
      </c>
      <c r="C1178" s="3" t="s">
        <v>129</v>
      </c>
      <c r="D1178" s="3">
        <v>2</v>
      </c>
      <c r="E1178" s="3">
        <v>2023</v>
      </c>
      <c r="F1178" s="3">
        <v>1</v>
      </c>
      <c r="G1178" s="3" t="s">
        <v>39</v>
      </c>
      <c r="H1178" s="3" t="s">
        <v>46</v>
      </c>
      <c r="I1178" s="5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 t="e">
        <f t="shared" si="19"/>
        <v>#DIV/0!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  <c r="AF1178" s="3">
        <v>0</v>
      </c>
      <c r="AG1178" s="3">
        <v>0</v>
      </c>
      <c r="AH1178" s="3">
        <v>0</v>
      </c>
      <c r="AI1178" s="3">
        <v>0</v>
      </c>
      <c r="AJ1178" s="3">
        <v>0</v>
      </c>
    </row>
    <row r="1179" spans="1:36" x14ac:dyDescent="0.2">
      <c r="A1179" s="3" t="s">
        <v>75</v>
      </c>
      <c r="B1179" s="3" t="s">
        <v>83</v>
      </c>
      <c r="C1179" s="3" t="s">
        <v>129</v>
      </c>
      <c r="D1179" s="3">
        <v>2</v>
      </c>
      <c r="E1179" s="3">
        <v>2023</v>
      </c>
      <c r="F1179" s="3">
        <v>1</v>
      </c>
      <c r="G1179" s="3" t="s">
        <v>39</v>
      </c>
      <c r="H1179" s="3" t="s">
        <v>40</v>
      </c>
      <c r="I1179" s="5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 t="e">
        <f t="shared" si="19"/>
        <v>#DIV/0!</v>
      </c>
      <c r="P1179" s="3">
        <v>0</v>
      </c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  <c r="AB1179" s="3">
        <v>0</v>
      </c>
      <c r="AC1179" s="3">
        <v>0</v>
      </c>
      <c r="AD1179" s="3">
        <v>0</v>
      </c>
      <c r="AE1179" s="3">
        <v>0</v>
      </c>
      <c r="AF1179" s="3">
        <v>0</v>
      </c>
      <c r="AG1179" s="3">
        <v>0</v>
      </c>
      <c r="AH1179" s="3">
        <v>0</v>
      </c>
      <c r="AI1179" s="3">
        <v>0</v>
      </c>
      <c r="AJ1179" s="3">
        <v>0</v>
      </c>
    </row>
    <row r="1180" spans="1:36" x14ac:dyDescent="0.2">
      <c r="A1180" s="3" t="s">
        <v>75</v>
      </c>
      <c r="B1180" s="3" t="s">
        <v>83</v>
      </c>
      <c r="C1180" s="3" t="s">
        <v>129</v>
      </c>
      <c r="D1180" s="3">
        <v>3</v>
      </c>
      <c r="E1180" s="3">
        <v>2023</v>
      </c>
      <c r="F1180" s="3">
        <v>1</v>
      </c>
      <c r="G1180" s="3" t="s">
        <v>42</v>
      </c>
      <c r="H1180" s="3" t="s">
        <v>46</v>
      </c>
      <c r="I1180" s="5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  <c r="O1180" s="3" t="e">
        <f t="shared" si="19"/>
        <v>#DIV/0!</v>
      </c>
      <c r="P1180" s="3">
        <v>0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0</v>
      </c>
      <c r="AD1180" s="3">
        <v>0</v>
      </c>
      <c r="AE1180" s="3">
        <v>0</v>
      </c>
      <c r="AF1180" s="3">
        <v>0</v>
      </c>
      <c r="AG1180" s="3">
        <v>0</v>
      </c>
      <c r="AH1180" s="3">
        <v>0</v>
      </c>
      <c r="AI1180" s="3">
        <v>0</v>
      </c>
      <c r="AJ1180" s="3">
        <v>0</v>
      </c>
    </row>
    <row r="1181" spans="1:36" x14ac:dyDescent="0.2">
      <c r="A1181" s="3" t="s">
        <v>75</v>
      </c>
      <c r="B1181" s="3" t="s">
        <v>83</v>
      </c>
      <c r="C1181" s="3" t="s">
        <v>129</v>
      </c>
      <c r="D1181" s="3">
        <v>3</v>
      </c>
      <c r="E1181" s="3">
        <v>2023</v>
      </c>
      <c r="F1181" s="3">
        <v>1</v>
      </c>
      <c r="G1181" s="3" t="s">
        <v>42</v>
      </c>
      <c r="H1181" s="3" t="s">
        <v>40</v>
      </c>
      <c r="I1181" s="5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 t="e">
        <f t="shared" si="19"/>
        <v>#DIV/0!</v>
      </c>
      <c r="P1181" s="3">
        <v>0</v>
      </c>
      <c r="Q1181" s="3">
        <v>0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0</v>
      </c>
      <c r="AB1181" s="3">
        <v>0</v>
      </c>
      <c r="AC1181" s="3">
        <v>0</v>
      </c>
      <c r="AD1181" s="3">
        <v>0</v>
      </c>
      <c r="AE1181" s="3">
        <v>0</v>
      </c>
      <c r="AF1181" s="3">
        <v>0</v>
      </c>
      <c r="AG1181" s="3">
        <v>0</v>
      </c>
      <c r="AH1181" s="3">
        <v>0</v>
      </c>
      <c r="AI1181" s="3">
        <v>0</v>
      </c>
      <c r="AJ1181" s="3">
        <v>0</v>
      </c>
    </row>
    <row r="1182" spans="1:36" x14ac:dyDescent="0.2">
      <c r="A1182" s="3" t="s">
        <v>75</v>
      </c>
      <c r="B1182" s="3" t="s">
        <v>83</v>
      </c>
      <c r="C1182" s="3" t="s">
        <v>129</v>
      </c>
      <c r="D1182" s="3">
        <v>3</v>
      </c>
      <c r="E1182" s="3">
        <v>2023</v>
      </c>
      <c r="F1182" s="3">
        <v>1</v>
      </c>
      <c r="G1182" s="3" t="s">
        <v>39</v>
      </c>
      <c r="H1182" s="3" t="s">
        <v>46</v>
      </c>
      <c r="I1182" s="5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 t="e">
        <f t="shared" si="19"/>
        <v>#DIV/0!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0</v>
      </c>
      <c r="AB1182" s="3">
        <v>0</v>
      </c>
      <c r="AC1182" s="3">
        <v>0</v>
      </c>
      <c r="AD1182" s="3">
        <v>0</v>
      </c>
      <c r="AE1182" s="3">
        <v>0</v>
      </c>
      <c r="AF1182" s="3">
        <v>0</v>
      </c>
      <c r="AG1182" s="3">
        <v>0</v>
      </c>
      <c r="AH1182" s="3">
        <v>0</v>
      </c>
      <c r="AI1182" s="3">
        <v>0</v>
      </c>
      <c r="AJ1182" s="3">
        <v>0</v>
      </c>
    </row>
    <row r="1183" spans="1:36" x14ac:dyDescent="0.2">
      <c r="A1183" s="3" t="s">
        <v>75</v>
      </c>
      <c r="B1183" s="3" t="s">
        <v>83</v>
      </c>
      <c r="C1183" s="3" t="s">
        <v>129</v>
      </c>
      <c r="D1183" s="3">
        <v>3</v>
      </c>
      <c r="E1183" s="3">
        <v>2023</v>
      </c>
      <c r="F1183" s="3">
        <v>1</v>
      </c>
      <c r="G1183" s="3" t="s">
        <v>39</v>
      </c>
      <c r="H1183" s="3" t="s">
        <v>40</v>
      </c>
      <c r="I1183" s="5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 t="e">
        <f t="shared" si="19"/>
        <v>#DIV/0!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0</v>
      </c>
      <c r="AB1183" s="3">
        <v>0</v>
      </c>
      <c r="AC1183" s="3">
        <v>0</v>
      </c>
      <c r="AD1183" s="3">
        <v>0</v>
      </c>
      <c r="AE1183" s="3">
        <v>0</v>
      </c>
      <c r="AF1183" s="3">
        <v>0</v>
      </c>
      <c r="AG1183" s="3">
        <v>0</v>
      </c>
      <c r="AH1183" s="3">
        <v>0</v>
      </c>
      <c r="AI1183" s="3">
        <v>0</v>
      </c>
      <c r="AJ1183" s="3">
        <v>0</v>
      </c>
    </row>
    <row r="1184" spans="1:36" x14ac:dyDescent="0.2">
      <c r="A1184" s="3" t="s">
        <v>75</v>
      </c>
      <c r="B1184" s="3" t="s">
        <v>83</v>
      </c>
      <c r="C1184" s="3" t="s">
        <v>129</v>
      </c>
      <c r="D1184" s="3">
        <v>1</v>
      </c>
      <c r="E1184" s="3">
        <v>2023</v>
      </c>
      <c r="F1184" s="3">
        <v>1</v>
      </c>
      <c r="G1184" s="3" t="s">
        <v>48</v>
      </c>
      <c r="H1184" s="3" t="s">
        <v>46</v>
      </c>
      <c r="I1184" s="5">
        <v>2626997</v>
      </c>
      <c r="J1184" s="3">
        <v>257298</v>
      </c>
      <c r="K1184" s="3">
        <v>2369699</v>
      </c>
      <c r="L1184" s="3">
        <v>1413634.8459999999</v>
      </c>
      <c r="M1184" s="3">
        <v>956064.15399999998</v>
      </c>
      <c r="N1184" s="3">
        <v>1924267.9779999997</v>
      </c>
      <c r="O1184" s="3">
        <f t="shared" si="19"/>
        <v>81.203054818354545</v>
      </c>
      <c r="P1184" s="3">
        <v>295562.93599999999</v>
      </c>
      <c r="Q1184" s="3">
        <v>205757.02300000002</v>
      </c>
      <c r="R1184" s="3">
        <v>703384.19899999991</v>
      </c>
      <c r="S1184" s="3">
        <v>27100.555</v>
      </c>
      <c r="T1184" s="3">
        <v>250504.45500000002</v>
      </c>
      <c r="U1184" s="3">
        <v>67067.833999999988</v>
      </c>
      <c r="V1184" s="3">
        <v>374890.97600000002</v>
      </c>
      <c r="W1184" s="3">
        <v>0</v>
      </c>
      <c r="X1184" s="3">
        <v>-968203.82399999991</v>
      </c>
      <c r="Y1184" s="3">
        <v>88.824561827044278</v>
      </c>
      <c r="Z1184" s="3">
        <v>-35585.764999999999</v>
      </c>
      <c r="AA1184" s="3">
        <v>35674.589561827037</v>
      </c>
      <c r="AB1184" s="3">
        <v>0</v>
      </c>
      <c r="AC1184" s="3">
        <v>0</v>
      </c>
      <c r="AD1184" s="3">
        <v>0</v>
      </c>
      <c r="AE1184" s="3">
        <v>-932529.23443817301</v>
      </c>
      <c r="AF1184" s="3">
        <v>0</v>
      </c>
      <c r="AG1184" s="3">
        <v>-932529.23443817301</v>
      </c>
      <c r="AH1184" s="3">
        <v>-932529.23443817301</v>
      </c>
      <c r="AI1184" s="3">
        <v>6460000</v>
      </c>
      <c r="AJ1184" s="3">
        <v>0</v>
      </c>
    </row>
    <row r="1185" spans="1:36" x14ac:dyDescent="0.2">
      <c r="A1185" s="3" t="s">
        <v>75</v>
      </c>
      <c r="B1185" s="3" t="s">
        <v>83</v>
      </c>
      <c r="C1185" s="3" t="s">
        <v>129</v>
      </c>
      <c r="D1185" s="3">
        <v>3</v>
      </c>
      <c r="E1185" s="3">
        <v>2023</v>
      </c>
      <c r="F1185" s="3">
        <v>1</v>
      </c>
      <c r="G1185" s="3" t="s">
        <v>48</v>
      </c>
      <c r="H1185" s="3" t="s">
        <v>46</v>
      </c>
      <c r="I1185" s="5">
        <v>4155480</v>
      </c>
      <c r="J1185" s="3">
        <v>191006.25</v>
      </c>
      <c r="K1185" s="3">
        <v>3964473.75</v>
      </c>
      <c r="L1185" s="3">
        <v>2195996.88</v>
      </c>
      <c r="M1185" s="3">
        <v>1768476.87</v>
      </c>
      <c r="N1185" s="3">
        <v>2110492.3650000002</v>
      </c>
      <c r="O1185" s="3">
        <f t="shared" si="19"/>
        <v>53.235120172002659</v>
      </c>
      <c r="P1185" s="3">
        <v>466672.5</v>
      </c>
      <c r="Q1185" s="3">
        <v>334142.41499999998</v>
      </c>
      <c r="R1185" s="3">
        <v>749783.19000000006</v>
      </c>
      <c r="S1185" s="3">
        <v>38218.92</v>
      </c>
      <c r="T1185" s="3">
        <v>72555.09</v>
      </c>
      <c r="U1185" s="3">
        <v>107115.87</v>
      </c>
      <c r="V1185" s="3">
        <v>342004.38</v>
      </c>
      <c r="W1185" s="3">
        <v>0</v>
      </c>
      <c r="X1185" s="3">
        <v>-342015.495</v>
      </c>
      <c r="Y1185" s="3">
        <v>111.40236457324536</v>
      </c>
      <c r="Z1185" s="3">
        <v>12502.380000000001</v>
      </c>
      <c r="AA1185" s="3">
        <v>-12390.977635426754</v>
      </c>
      <c r="AB1185" s="3">
        <v>0</v>
      </c>
      <c r="AC1185" s="3">
        <v>0</v>
      </c>
      <c r="AD1185" s="3">
        <v>0</v>
      </c>
      <c r="AE1185" s="3">
        <v>-354406.47263542679</v>
      </c>
      <c r="AF1185" s="3">
        <v>0</v>
      </c>
      <c r="AG1185" s="3">
        <v>-354406.47263542679</v>
      </c>
      <c r="AH1185" s="3">
        <v>-354406.47263542679</v>
      </c>
      <c r="AI1185" s="3">
        <v>4950000</v>
      </c>
      <c r="AJ1185" s="3">
        <v>0</v>
      </c>
    </row>
    <row r="1186" spans="1:36" x14ac:dyDescent="0.2">
      <c r="A1186" s="3" t="s">
        <v>75</v>
      </c>
      <c r="B1186" s="3" t="s">
        <v>83</v>
      </c>
      <c r="C1186" s="3" t="s">
        <v>129</v>
      </c>
      <c r="D1186" s="3">
        <v>2</v>
      </c>
      <c r="E1186" s="3">
        <v>2023</v>
      </c>
      <c r="F1186" s="3">
        <v>1</v>
      </c>
      <c r="G1186" s="3" t="s">
        <v>48</v>
      </c>
      <c r="H1186" s="3" t="s">
        <v>46</v>
      </c>
      <c r="I1186" s="5">
        <v>6270504</v>
      </c>
      <c r="J1186" s="3">
        <v>550488</v>
      </c>
      <c r="K1186" s="3">
        <v>5720016</v>
      </c>
      <c r="L1186" s="3">
        <v>3401738.4719999996</v>
      </c>
      <c r="M1186" s="3">
        <v>2318277.5279999999</v>
      </c>
      <c r="N1186" s="3">
        <v>2896532.9759999998</v>
      </c>
      <c r="O1186" s="3">
        <f t="shared" si="19"/>
        <v>50.638546745323787</v>
      </c>
      <c r="P1186" s="3">
        <v>746676</v>
      </c>
      <c r="Q1186" s="3">
        <v>270698.28000000003</v>
      </c>
      <c r="R1186" s="3">
        <v>1011956.6159999999</v>
      </c>
      <c r="S1186" s="3">
        <v>54943.343999999997</v>
      </c>
      <c r="T1186" s="3">
        <v>109783.46400000001</v>
      </c>
      <c r="U1186" s="3">
        <v>177790.992</v>
      </c>
      <c r="V1186" s="3">
        <v>524684.28</v>
      </c>
      <c r="W1186" s="3">
        <v>0</v>
      </c>
      <c r="X1186" s="3">
        <v>-578255.44799999997</v>
      </c>
      <c r="Y1186" s="3">
        <v>155.96465277761766</v>
      </c>
      <c r="Z1186" s="3">
        <v>-61973.255999999994</v>
      </c>
      <c r="AA1186" s="3">
        <v>62129.220652777614</v>
      </c>
      <c r="AB1186" s="3">
        <v>0</v>
      </c>
      <c r="AC1186" s="3">
        <v>0</v>
      </c>
      <c r="AD1186" s="3">
        <v>0</v>
      </c>
      <c r="AE1186" s="3">
        <v>-516126.22734722239</v>
      </c>
      <c r="AF1186" s="3">
        <v>0</v>
      </c>
      <c r="AG1186" s="3">
        <v>-516126.22734722239</v>
      </c>
      <c r="AH1186" s="3">
        <v>-516126.22734722239</v>
      </c>
      <c r="AI1186" s="3">
        <v>8400000</v>
      </c>
      <c r="AJ1186" s="3">
        <v>0</v>
      </c>
    </row>
    <row r="1187" spans="1:36" x14ac:dyDescent="0.2">
      <c r="A1187" s="3" t="s">
        <v>75</v>
      </c>
      <c r="B1187" s="3" t="s">
        <v>83</v>
      </c>
      <c r="C1187" s="3" t="s">
        <v>130</v>
      </c>
      <c r="D1187" s="3">
        <v>1</v>
      </c>
      <c r="E1187" s="3">
        <v>2023</v>
      </c>
      <c r="F1187" s="3">
        <v>1</v>
      </c>
      <c r="G1187" s="3" t="s">
        <v>42</v>
      </c>
      <c r="H1187" s="3" t="s">
        <v>46</v>
      </c>
      <c r="I1187" s="5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 t="e">
        <f t="shared" si="19"/>
        <v>#DIV/0!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0</v>
      </c>
      <c r="AB1187" s="3">
        <v>0</v>
      </c>
      <c r="AC1187" s="3">
        <v>0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0</v>
      </c>
      <c r="AJ1187" s="3">
        <v>0</v>
      </c>
    </row>
    <row r="1188" spans="1:36" x14ac:dyDescent="0.2">
      <c r="A1188" s="3" t="s">
        <v>75</v>
      </c>
      <c r="B1188" s="3" t="s">
        <v>83</v>
      </c>
      <c r="C1188" s="3" t="s">
        <v>130</v>
      </c>
      <c r="D1188" s="3">
        <v>1</v>
      </c>
      <c r="E1188" s="3">
        <v>2023</v>
      </c>
      <c r="F1188" s="3">
        <v>1</v>
      </c>
      <c r="G1188" s="3" t="s">
        <v>42</v>
      </c>
      <c r="H1188" s="3" t="s">
        <v>40</v>
      </c>
      <c r="I1188" s="5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 t="e">
        <f t="shared" si="19"/>
        <v>#DIV/0!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3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0</v>
      </c>
      <c r="AJ1188" s="3">
        <v>0</v>
      </c>
    </row>
    <row r="1189" spans="1:36" x14ac:dyDescent="0.2">
      <c r="A1189" s="3" t="s">
        <v>75</v>
      </c>
      <c r="B1189" s="3" t="s">
        <v>83</v>
      </c>
      <c r="C1189" s="3" t="s">
        <v>130</v>
      </c>
      <c r="D1189" s="3">
        <v>1</v>
      </c>
      <c r="E1189" s="3">
        <v>2023</v>
      </c>
      <c r="F1189" s="3">
        <v>1</v>
      </c>
      <c r="G1189" s="3" t="s">
        <v>39</v>
      </c>
      <c r="H1189" s="3" t="s">
        <v>40</v>
      </c>
      <c r="I1189" s="5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 t="e">
        <f t="shared" si="19"/>
        <v>#DIV/0!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3">
        <v>0</v>
      </c>
      <c r="AB1189" s="3">
        <v>0</v>
      </c>
      <c r="AC1189" s="3">
        <v>0</v>
      </c>
      <c r="AD1189" s="3">
        <v>0</v>
      </c>
      <c r="AE1189" s="3">
        <v>0</v>
      </c>
      <c r="AF1189" s="3">
        <v>0</v>
      </c>
      <c r="AG1189" s="3">
        <v>0</v>
      </c>
      <c r="AH1189" s="3">
        <v>0</v>
      </c>
      <c r="AI1189" s="3">
        <v>0</v>
      </c>
      <c r="AJ1189" s="3">
        <v>0</v>
      </c>
    </row>
    <row r="1190" spans="1:36" x14ac:dyDescent="0.2">
      <c r="A1190" s="3" t="s">
        <v>75</v>
      </c>
      <c r="B1190" s="3" t="s">
        <v>83</v>
      </c>
      <c r="C1190" s="3" t="s">
        <v>130</v>
      </c>
      <c r="D1190" s="3">
        <v>2</v>
      </c>
      <c r="E1190" s="3">
        <v>2023</v>
      </c>
      <c r="F1190" s="3">
        <v>1</v>
      </c>
      <c r="G1190" s="3" t="s">
        <v>42</v>
      </c>
      <c r="H1190" s="3" t="s">
        <v>46</v>
      </c>
      <c r="I1190" s="5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 t="e">
        <f t="shared" si="19"/>
        <v>#DIV/0!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0</v>
      </c>
      <c r="AD1190" s="3">
        <v>0</v>
      </c>
      <c r="AE1190" s="3">
        <v>0</v>
      </c>
      <c r="AF1190" s="3">
        <v>0</v>
      </c>
      <c r="AG1190" s="3">
        <v>0</v>
      </c>
      <c r="AH1190" s="3">
        <v>0</v>
      </c>
      <c r="AI1190" s="3">
        <v>0</v>
      </c>
      <c r="AJ1190" s="3">
        <v>0</v>
      </c>
    </row>
    <row r="1191" spans="1:36" x14ac:dyDescent="0.2">
      <c r="A1191" s="3" t="s">
        <v>75</v>
      </c>
      <c r="B1191" s="3" t="s">
        <v>83</v>
      </c>
      <c r="C1191" s="3" t="s">
        <v>130</v>
      </c>
      <c r="D1191" s="3">
        <v>2</v>
      </c>
      <c r="E1191" s="3">
        <v>2023</v>
      </c>
      <c r="F1191" s="3">
        <v>1</v>
      </c>
      <c r="G1191" s="3" t="s">
        <v>42</v>
      </c>
      <c r="H1191" s="3" t="s">
        <v>40</v>
      </c>
      <c r="I1191" s="5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 t="e">
        <f t="shared" si="19"/>
        <v>#DIV/0!</v>
      </c>
      <c r="P1191" s="3">
        <v>0</v>
      </c>
      <c r="Q1191" s="3">
        <v>0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0</v>
      </c>
      <c r="AB1191" s="3">
        <v>0</v>
      </c>
      <c r="AC1191" s="3">
        <v>0</v>
      </c>
      <c r="AD1191" s="3">
        <v>0</v>
      </c>
      <c r="AE1191" s="3">
        <v>0</v>
      </c>
      <c r="AF1191" s="3">
        <v>0</v>
      </c>
      <c r="AG1191" s="3">
        <v>0</v>
      </c>
      <c r="AH1191" s="3">
        <v>0</v>
      </c>
      <c r="AI1191" s="3">
        <v>0</v>
      </c>
      <c r="AJ1191" s="3">
        <v>0</v>
      </c>
    </row>
    <row r="1192" spans="1:36" x14ac:dyDescent="0.2">
      <c r="A1192" s="3" t="s">
        <v>75</v>
      </c>
      <c r="B1192" s="3" t="s">
        <v>83</v>
      </c>
      <c r="C1192" s="3" t="s">
        <v>130</v>
      </c>
      <c r="D1192" s="3">
        <v>2</v>
      </c>
      <c r="E1192" s="3">
        <v>2023</v>
      </c>
      <c r="F1192" s="3">
        <v>1</v>
      </c>
      <c r="G1192" s="3" t="s">
        <v>39</v>
      </c>
      <c r="H1192" s="3" t="s">
        <v>40</v>
      </c>
      <c r="I1192" s="5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 t="e">
        <f t="shared" si="19"/>
        <v>#DIV/0!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3">
        <v>0</v>
      </c>
      <c r="AC1192" s="3">
        <v>0</v>
      </c>
      <c r="AD1192" s="3">
        <v>0</v>
      </c>
      <c r="AE1192" s="3">
        <v>0</v>
      </c>
      <c r="AF1192" s="3">
        <v>0</v>
      </c>
      <c r="AG1192" s="3">
        <v>0</v>
      </c>
      <c r="AH1192" s="3">
        <v>0</v>
      </c>
      <c r="AI1192" s="3">
        <v>0</v>
      </c>
      <c r="AJ1192" s="3">
        <v>0</v>
      </c>
    </row>
    <row r="1193" spans="1:36" x14ac:dyDescent="0.2">
      <c r="A1193" s="3" t="s">
        <v>75</v>
      </c>
      <c r="B1193" s="3" t="s">
        <v>83</v>
      </c>
      <c r="C1193" s="3" t="s">
        <v>130</v>
      </c>
      <c r="D1193" s="3">
        <v>3</v>
      </c>
      <c r="E1193" s="3">
        <v>2023</v>
      </c>
      <c r="F1193" s="3">
        <v>1</v>
      </c>
      <c r="G1193" s="3" t="s">
        <v>42</v>
      </c>
      <c r="H1193" s="3" t="s">
        <v>46</v>
      </c>
      <c r="I1193" s="5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 t="e">
        <f t="shared" si="19"/>
        <v>#DIV/0!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3">
        <v>0</v>
      </c>
      <c r="AC1193" s="3">
        <v>0</v>
      </c>
      <c r="AD1193" s="3">
        <v>0</v>
      </c>
      <c r="AE1193" s="3">
        <v>0</v>
      </c>
      <c r="AF1193" s="3">
        <v>0</v>
      </c>
      <c r="AG1193" s="3">
        <v>0</v>
      </c>
      <c r="AH1193" s="3">
        <v>0</v>
      </c>
      <c r="AI1193" s="3">
        <v>0</v>
      </c>
      <c r="AJ1193" s="3">
        <v>0</v>
      </c>
    </row>
    <row r="1194" spans="1:36" x14ac:dyDescent="0.2">
      <c r="A1194" s="3" t="s">
        <v>75</v>
      </c>
      <c r="B1194" s="3" t="s">
        <v>83</v>
      </c>
      <c r="C1194" s="3" t="s">
        <v>130</v>
      </c>
      <c r="D1194" s="3">
        <v>3</v>
      </c>
      <c r="E1194" s="3">
        <v>2023</v>
      </c>
      <c r="F1194" s="3">
        <v>1</v>
      </c>
      <c r="G1194" s="3" t="s">
        <v>42</v>
      </c>
      <c r="H1194" s="3" t="s">
        <v>40</v>
      </c>
      <c r="I1194" s="5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 t="e">
        <f t="shared" si="19"/>
        <v>#DIV/0!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3">
        <v>0</v>
      </c>
      <c r="AE1194" s="3">
        <v>0</v>
      </c>
      <c r="AF1194" s="3">
        <v>0</v>
      </c>
      <c r="AG1194" s="3">
        <v>0</v>
      </c>
      <c r="AH1194" s="3">
        <v>0</v>
      </c>
      <c r="AI1194" s="3">
        <v>0</v>
      </c>
      <c r="AJ1194" s="3">
        <v>0</v>
      </c>
    </row>
    <row r="1195" spans="1:36" x14ac:dyDescent="0.2">
      <c r="A1195" s="3" t="s">
        <v>75</v>
      </c>
      <c r="B1195" s="3" t="s">
        <v>83</v>
      </c>
      <c r="C1195" s="3" t="s">
        <v>130</v>
      </c>
      <c r="D1195" s="3">
        <v>3</v>
      </c>
      <c r="E1195" s="3">
        <v>2023</v>
      </c>
      <c r="F1195" s="3">
        <v>1</v>
      </c>
      <c r="G1195" s="3" t="s">
        <v>39</v>
      </c>
      <c r="H1195" s="3" t="s">
        <v>40</v>
      </c>
      <c r="I1195" s="5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 t="e">
        <f t="shared" si="19"/>
        <v>#DIV/0!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0</v>
      </c>
      <c r="AB1195" s="3">
        <v>0</v>
      </c>
      <c r="AC1195" s="3">
        <v>0</v>
      </c>
      <c r="AD1195" s="3">
        <v>0</v>
      </c>
      <c r="AE1195" s="3">
        <v>0</v>
      </c>
      <c r="AF1195" s="3">
        <v>0</v>
      </c>
      <c r="AG1195" s="3">
        <v>0</v>
      </c>
      <c r="AH1195" s="3">
        <v>0</v>
      </c>
      <c r="AI1195" s="3">
        <v>0</v>
      </c>
      <c r="AJ1195" s="3">
        <v>0</v>
      </c>
    </row>
    <row r="1196" spans="1:36" x14ac:dyDescent="0.2">
      <c r="A1196" s="3" t="s">
        <v>75</v>
      </c>
      <c r="B1196" s="3" t="s">
        <v>83</v>
      </c>
      <c r="C1196" s="3" t="s">
        <v>130</v>
      </c>
      <c r="D1196" s="3">
        <v>1</v>
      </c>
      <c r="E1196" s="3">
        <v>2023</v>
      </c>
      <c r="F1196" s="3">
        <v>1</v>
      </c>
      <c r="G1196" s="3" t="s">
        <v>48</v>
      </c>
      <c r="H1196" s="3" t="s">
        <v>46</v>
      </c>
      <c r="I1196" s="5">
        <v>2648980</v>
      </c>
      <c r="J1196" s="3">
        <v>387201</v>
      </c>
      <c r="K1196" s="3">
        <v>2261779</v>
      </c>
      <c r="L1196" s="3">
        <v>1514253.8869999999</v>
      </c>
      <c r="M1196" s="3">
        <v>747525.11300000001</v>
      </c>
      <c r="N1196" s="3">
        <v>3410285.8509999998</v>
      </c>
      <c r="O1196" s="3">
        <f t="shared" si="19"/>
        <v>150.77891566771112</v>
      </c>
      <c r="P1196" s="3">
        <v>884151.16800000006</v>
      </c>
      <c r="Q1196" s="3">
        <v>299751.087</v>
      </c>
      <c r="R1196" s="3">
        <v>1258878.0219999999</v>
      </c>
      <c r="S1196" s="3">
        <v>73203.428</v>
      </c>
      <c r="T1196" s="3">
        <v>186615.20699999999</v>
      </c>
      <c r="U1196" s="3">
        <v>30734.475999999995</v>
      </c>
      <c r="V1196" s="3">
        <v>676952.46299999999</v>
      </c>
      <c r="W1196" s="3">
        <v>0</v>
      </c>
      <c r="X1196" s="3">
        <v>-2662760.7379999994</v>
      </c>
      <c r="Y1196" s="3">
        <v>69.449932140157159</v>
      </c>
      <c r="Z1196" s="3">
        <v>1785.6010000000001</v>
      </c>
      <c r="AA1196" s="3">
        <v>-1716.1510678598427</v>
      </c>
      <c r="AB1196" s="3">
        <v>0</v>
      </c>
      <c r="AC1196" s="3">
        <v>0</v>
      </c>
      <c r="AD1196" s="3">
        <v>0</v>
      </c>
      <c r="AE1196" s="3">
        <v>-2664476.8890678599</v>
      </c>
      <c r="AF1196" s="3">
        <v>0</v>
      </c>
      <c r="AG1196" s="3">
        <v>-2664476.8890678599</v>
      </c>
      <c r="AH1196" s="3">
        <v>-2664476.8890678599</v>
      </c>
      <c r="AI1196" s="3">
        <v>12160000</v>
      </c>
      <c r="AJ1196" s="3">
        <v>0</v>
      </c>
    </row>
    <row r="1197" spans="1:36" x14ac:dyDescent="0.2">
      <c r="A1197" s="3" t="s">
        <v>75</v>
      </c>
      <c r="B1197" s="3" t="s">
        <v>83</v>
      </c>
      <c r="C1197" s="3" t="s">
        <v>130</v>
      </c>
      <c r="D1197" s="3">
        <v>2</v>
      </c>
      <c r="E1197" s="3">
        <v>2023</v>
      </c>
      <c r="F1197" s="3">
        <v>1</v>
      </c>
      <c r="G1197" s="3" t="s">
        <v>48</v>
      </c>
      <c r="H1197" s="3" t="s">
        <v>46</v>
      </c>
      <c r="I1197" s="5">
        <v>3540816</v>
      </c>
      <c r="J1197" s="3">
        <v>149638.39999999999</v>
      </c>
      <c r="K1197" s="3">
        <v>3391177.6</v>
      </c>
      <c r="L1197" s="3">
        <v>2159564.9920000001</v>
      </c>
      <c r="M1197" s="3">
        <v>1231612.6080000002</v>
      </c>
      <c r="N1197" s="3">
        <v>3002378.5279999999</v>
      </c>
      <c r="O1197" s="3">
        <f t="shared" si="19"/>
        <v>88.534983481844179</v>
      </c>
      <c r="P1197" s="3">
        <v>856220.35199999996</v>
      </c>
      <c r="Q1197" s="3">
        <v>252421.96800000002</v>
      </c>
      <c r="R1197" s="3">
        <v>1083880.7840000002</v>
      </c>
      <c r="S1197" s="3">
        <v>71845.008000000002</v>
      </c>
      <c r="T1197" s="3">
        <v>188458.11199999999</v>
      </c>
      <c r="U1197" s="3">
        <v>81364</v>
      </c>
      <c r="V1197" s="3">
        <v>468188.30400000006</v>
      </c>
      <c r="W1197" s="3">
        <v>0</v>
      </c>
      <c r="X1197" s="3">
        <v>-1770765.92</v>
      </c>
      <c r="Y1197" s="3">
        <v>82.857437551191012</v>
      </c>
      <c r="Z1197" s="3">
        <v>-32923.776000000005</v>
      </c>
      <c r="AA1197" s="3">
        <v>33006.633437551194</v>
      </c>
      <c r="AB1197" s="3">
        <v>0</v>
      </c>
      <c r="AC1197" s="3">
        <v>0</v>
      </c>
      <c r="AD1197" s="3">
        <v>0</v>
      </c>
      <c r="AE1197" s="3">
        <v>-1737759.2865624488</v>
      </c>
      <c r="AF1197" s="3">
        <v>0</v>
      </c>
      <c r="AG1197" s="3">
        <v>-1737759.2865624488</v>
      </c>
      <c r="AH1197" s="3">
        <v>-1737759.2865624488</v>
      </c>
      <c r="AI1197" s="3">
        <v>10880000</v>
      </c>
      <c r="AJ1197" s="3">
        <v>0</v>
      </c>
    </row>
    <row r="1198" spans="1:36" x14ac:dyDescent="0.2">
      <c r="A1198" s="3" t="s">
        <v>75</v>
      </c>
      <c r="B1198" s="3" t="s">
        <v>83</v>
      </c>
      <c r="C1198" s="3" t="s">
        <v>130</v>
      </c>
      <c r="D1198" s="3">
        <v>3</v>
      </c>
      <c r="E1198" s="3">
        <v>2023</v>
      </c>
      <c r="F1198" s="3">
        <v>1</v>
      </c>
      <c r="G1198" s="3" t="s">
        <v>48</v>
      </c>
      <c r="H1198" s="3" t="s">
        <v>46</v>
      </c>
      <c r="I1198" s="5">
        <v>5364352</v>
      </c>
      <c r="J1198" s="3">
        <v>355320</v>
      </c>
      <c r="K1198" s="3">
        <v>5009032</v>
      </c>
      <c r="L1198" s="3">
        <v>3483617.5359999994</v>
      </c>
      <c r="M1198" s="3">
        <v>1525414.4639999999</v>
      </c>
      <c r="N1198" s="3">
        <v>5451752.7680000002</v>
      </c>
      <c r="O1198" s="3">
        <f t="shared" si="19"/>
        <v>108.83844958467026</v>
      </c>
      <c r="P1198" s="3">
        <v>1185735.9639999999</v>
      </c>
      <c r="Q1198" s="3">
        <v>857427.11599999992</v>
      </c>
      <c r="R1198" s="3">
        <v>2038083.2639999995</v>
      </c>
      <c r="S1198" s="3">
        <v>117475.28799999999</v>
      </c>
      <c r="T1198" s="3">
        <v>263888.46399999998</v>
      </c>
      <c r="U1198" s="3">
        <v>100391.76</v>
      </c>
      <c r="V1198" s="3">
        <v>888750.91200000001</v>
      </c>
      <c r="W1198" s="3">
        <v>0</v>
      </c>
      <c r="X1198" s="3">
        <v>-3926338.3039999995</v>
      </c>
      <c r="Y1198" s="3">
        <v>96.091038071552333</v>
      </c>
      <c r="Z1198" s="3">
        <v>-72365.216</v>
      </c>
      <c r="AA1198" s="3">
        <v>72461.307038071551</v>
      </c>
      <c r="AB1198" s="3">
        <v>0</v>
      </c>
      <c r="AC1198" s="3">
        <v>0</v>
      </c>
      <c r="AD1198" s="3">
        <v>0</v>
      </c>
      <c r="AE1198" s="3">
        <v>-3853876.996961928</v>
      </c>
      <c r="AF1198" s="3">
        <v>0</v>
      </c>
      <c r="AG1198" s="3">
        <v>-3853876.996961928</v>
      </c>
      <c r="AH1198" s="3">
        <v>-3853876.996961928</v>
      </c>
      <c r="AI1198" s="3">
        <v>14840000</v>
      </c>
      <c r="AJ1198" s="3">
        <v>0</v>
      </c>
    </row>
    <row r="1199" spans="1:36" x14ac:dyDescent="0.2">
      <c r="A1199" s="3" t="s">
        <v>75</v>
      </c>
      <c r="B1199" s="3" t="s">
        <v>83</v>
      </c>
      <c r="C1199" s="3" t="s">
        <v>130</v>
      </c>
      <c r="D1199" s="3">
        <v>1</v>
      </c>
      <c r="E1199" s="3">
        <v>2023</v>
      </c>
      <c r="F1199" s="3">
        <v>1</v>
      </c>
      <c r="G1199" s="3" t="s">
        <v>39</v>
      </c>
      <c r="H1199" s="3" t="s">
        <v>46</v>
      </c>
      <c r="I1199" s="5">
        <v>14179573.340582473</v>
      </c>
      <c r="J1199" s="3">
        <v>0</v>
      </c>
      <c r="K1199" s="3">
        <v>14179573.340582473</v>
      </c>
      <c r="L1199" s="3">
        <v>14154895.550599307</v>
      </c>
      <c r="M1199" s="3">
        <v>24677.789983165745</v>
      </c>
      <c r="N1199" s="3">
        <v>238807.66</v>
      </c>
      <c r="O1199" s="3">
        <f t="shared" si="19"/>
        <v>1.6841667535688361</v>
      </c>
      <c r="P1199" s="3">
        <v>36971.675000000003</v>
      </c>
      <c r="Q1199" s="3">
        <v>11319.529000000002</v>
      </c>
      <c r="R1199" s="3">
        <v>141201.74900000001</v>
      </c>
      <c r="S1199" s="3">
        <v>2657.4340000000002</v>
      </c>
      <c r="T1199" s="3">
        <v>16670.186000000002</v>
      </c>
      <c r="U1199" s="3">
        <v>2786.0169999999998</v>
      </c>
      <c r="V1199" s="3">
        <v>27201.07</v>
      </c>
      <c r="W1199" s="3">
        <v>0</v>
      </c>
      <c r="X1199" s="3">
        <v>-214129.87001683423</v>
      </c>
      <c r="Y1199" s="3">
        <v>0</v>
      </c>
      <c r="Z1199" s="3">
        <v>0</v>
      </c>
      <c r="AA1199" s="3">
        <v>0</v>
      </c>
      <c r="AB1199" s="3">
        <v>7475</v>
      </c>
      <c r="AC1199" s="3">
        <v>4292.6000000000004</v>
      </c>
      <c r="AD1199" s="3">
        <v>3182.4</v>
      </c>
      <c r="AE1199" s="3">
        <v>-210947.47001683427</v>
      </c>
      <c r="AF1199" s="3">
        <v>0</v>
      </c>
      <c r="AG1199" s="3">
        <v>-210947.47001683427</v>
      </c>
      <c r="AH1199" s="3">
        <v>-210947.47001683427</v>
      </c>
      <c r="AI1199" s="3">
        <v>131179573.34058249</v>
      </c>
      <c r="AJ1199" s="3">
        <v>0</v>
      </c>
    </row>
    <row r="1200" spans="1:36" x14ac:dyDescent="0.2">
      <c r="A1200" s="3" t="s">
        <v>75</v>
      </c>
      <c r="B1200" s="3" t="s">
        <v>83</v>
      </c>
      <c r="C1200" s="3" t="s">
        <v>130</v>
      </c>
      <c r="D1200" s="3">
        <v>2</v>
      </c>
      <c r="E1200" s="3">
        <v>2023</v>
      </c>
      <c r="F1200" s="3">
        <v>1</v>
      </c>
      <c r="G1200" s="3" t="s">
        <v>39</v>
      </c>
      <c r="H1200" s="3" t="s">
        <v>46</v>
      </c>
      <c r="I1200" s="5">
        <v>75297959.787042454</v>
      </c>
      <c r="J1200" s="3">
        <v>0</v>
      </c>
      <c r="K1200" s="3">
        <v>75297959.787042454</v>
      </c>
      <c r="L1200" s="3">
        <v>74881118.290565148</v>
      </c>
      <c r="M1200" s="3">
        <v>416841.49647729873</v>
      </c>
      <c r="N1200" s="3">
        <v>204319.35700000002</v>
      </c>
      <c r="O1200" s="3">
        <f t="shared" si="19"/>
        <v>0.27134779956569294</v>
      </c>
      <c r="P1200" s="3">
        <v>35979.812000000005</v>
      </c>
      <c r="Q1200" s="3">
        <v>9578.0630000000001</v>
      </c>
      <c r="R1200" s="3">
        <v>129813.057</v>
      </c>
      <c r="S1200" s="3">
        <v>2248.598</v>
      </c>
      <c r="T1200" s="3">
        <v>8562.4330000000009</v>
      </c>
      <c r="U1200" s="3">
        <v>0</v>
      </c>
      <c r="V1200" s="3">
        <v>18137.394</v>
      </c>
      <c r="W1200" s="3">
        <v>0</v>
      </c>
      <c r="X1200" s="3">
        <v>212522.13947729874</v>
      </c>
      <c r="Y1200" s="3">
        <v>0</v>
      </c>
      <c r="Z1200" s="3">
        <v>0</v>
      </c>
      <c r="AA1200" s="3">
        <v>0</v>
      </c>
      <c r="AB1200" s="3">
        <v>1760</v>
      </c>
      <c r="AC1200" s="3">
        <v>1096.1500000000001</v>
      </c>
      <c r="AD1200" s="3">
        <v>663.85</v>
      </c>
      <c r="AE1200" s="3">
        <v>213185.98947729875</v>
      </c>
      <c r="AF1200" s="3">
        <v>0</v>
      </c>
      <c r="AG1200" s="3">
        <v>213185.98947729875</v>
      </c>
      <c r="AH1200" s="3">
        <v>213185.98947729875</v>
      </c>
      <c r="AI1200" s="3">
        <v>75297959.787042454</v>
      </c>
      <c r="AJ1200" s="3">
        <v>0</v>
      </c>
    </row>
    <row r="1201" spans="1:36" x14ac:dyDescent="0.2">
      <c r="A1201" s="3" t="s">
        <v>75</v>
      </c>
      <c r="B1201" s="3" t="s">
        <v>83</v>
      </c>
      <c r="C1201" s="3" t="s">
        <v>130</v>
      </c>
      <c r="D1201" s="3">
        <v>3</v>
      </c>
      <c r="E1201" s="3">
        <v>2023</v>
      </c>
      <c r="F1201" s="3">
        <v>1</v>
      </c>
      <c r="G1201" s="3" t="s">
        <v>39</v>
      </c>
      <c r="H1201" s="3" t="s">
        <v>46</v>
      </c>
      <c r="I1201" s="5">
        <v>77507716.30304268</v>
      </c>
      <c r="J1201" s="3">
        <v>0</v>
      </c>
      <c r="K1201" s="3">
        <v>77507716.30304268</v>
      </c>
      <c r="L1201" s="3">
        <v>77214461.085724026</v>
      </c>
      <c r="M1201" s="3">
        <v>293255.21731866553</v>
      </c>
      <c r="N1201" s="3">
        <v>427108.28600000002</v>
      </c>
      <c r="O1201" s="3">
        <f t="shared" si="19"/>
        <v>0.55105260014380431</v>
      </c>
      <c r="P1201" s="3">
        <v>56919.61</v>
      </c>
      <c r="Q1201" s="3">
        <v>39152.058000000005</v>
      </c>
      <c r="R1201" s="3">
        <v>245240.446</v>
      </c>
      <c r="S1201" s="3">
        <v>4497.1959999999999</v>
      </c>
      <c r="T1201" s="3">
        <v>12659.064</v>
      </c>
      <c r="U1201" s="3">
        <v>29325.516000000003</v>
      </c>
      <c r="V1201" s="3">
        <v>39314.396000000001</v>
      </c>
      <c r="W1201" s="3">
        <v>0</v>
      </c>
      <c r="X1201" s="3">
        <v>-133853.06868133449</v>
      </c>
      <c r="Y1201" s="3">
        <v>0</v>
      </c>
      <c r="Z1201" s="3">
        <v>0</v>
      </c>
      <c r="AA1201" s="3">
        <v>0</v>
      </c>
      <c r="AB1201" s="3">
        <v>6160</v>
      </c>
      <c r="AC1201" s="3">
        <v>0</v>
      </c>
      <c r="AD1201" s="3">
        <v>6160</v>
      </c>
      <c r="AE1201" s="3">
        <v>-127693.06868133449</v>
      </c>
      <c r="AF1201" s="3">
        <v>0</v>
      </c>
      <c r="AG1201" s="3">
        <v>-127693.06868133449</v>
      </c>
      <c r="AH1201" s="3">
        <v>-127693.06868133449</v>
      </c>
      <c r="AI1201" s="3">
        <v>77507716.30304268</v>
      </c>
      <c r="AJ1201" s="3">
        <v>0</v>
      </c>
    </row>
    <row r="1202" spans="1:36" x14ac:dyDescent="0.2">
      <c r="A1202" s="3" t="s">
        <v>75</v>
      </c>
      <c r="B1202" s="3" t="s">
        <v>101</v>
      </c>
      <c r="C1202" s="3" t="s">
        <v>102</v>
      </c>
      <c r="D1202" s="3">
        <v>1</v>
      </c>
      <c r="E1202" s="3">
        <v>2023</v>
      </c>
      <c r="F1202" s="3">
        <v>1</v>
      </c>
      <c r="G1202" s="3" t="s">
        <v>39</v>
      </c>
      <c r="H1202" s="3" t="s">
        <v>46</v>
      </c>
      <c r="I1202" s="5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  <c r="O1202" s="3" t="e">
        <f t="shared" si="19"/>
        <v>#DIV/0!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3">
        <v>0</v>
      </c>
      <c r="AE1202" s="3">
        <v>0</v>
      </c>
      <c r="AF1202" s="3">
        <v>0</v>
      </c>
      <c r="AG1202" s="3">
        <v>0</v>
      </c>
      <c r="AH1202" s="3">
        <v>0</v>
      </c>
      <c r="AI1202" s="3">
        <v>0</v>
      </c>
      <c r="AJ1202" s="3">
        <v>0</v>
      </c>
    </row>
    <row r="1203" spans="1:36" x14ac:dyDescent="0.2">
      <c r="A1203" s="3" t="s">
        <v>75</v>
      </c>
      <c r="B1203" s="3" t="s">
        <v>101</v>
      </c>
      <c r="C1203" s="3" t="s">
        <v>102</v>
      </c>
      <c r="D1203" s="3">
        <v>2</v>
      </c>
      <c r="E1203" s="3">
        <v>2023</v>
      </c>
      <c r="F1203" s="3">
        <v>1</v>
      </c>
      <c r="G1203" s="3" t="s">
        <v>39</v>
      </c>
      <c r="H1203" s="3" t="s">
        <v>46</v>
      </c>
      <c r="I1203" s="5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 t="e">
        <f t="shared" si="19"/>
        <v>#DIV/0!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3">
        <v>0</v>
      </c>
      <c r="AE1203" s="3">
        <v>0</v>
      </c>
      <c r="AF1203" s="3">
        <v>0</v>
      </c>
      <c r="AG1203" s="3">
        <v>0</v>
      </c>
      <c r="AH1203" s="3">
        <v>0</v>
      </c>
      <c r="AI1203" s="3">
        <v>0</v>
      </c>
      <c r="AJ1203" s="3">
        <v>0</v>
      </c>
    </row>
    <row r="1204" spans="1:36" x14ac:dyDescent="0.2">
      <c r="A1204" s="3" t="s">
        <v>75</v>
      </c>
      <c r="B1204" s="3" t="s">
        <v>101</v>
      </c>
      <c r="C1204" s="3" t="s">
        <v>102</v>
      </c>
      <c r="D1204" s="3">
        <v>3</v>
      </c>
      <c r="E1204" s="3">
        <v>2023</v>
      </c>
      <c r="F1204" s="3">
        <v>1</v>
      </c>
      <c r="G1204" s="3" t="s">
        <v>42</v>
      </c>
      <c r="H1204" s="3" t="s">
        <v>46</v>
      </c>
      <c r="I1204" s="5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 t="e">
        <f t="shared" si="19"/>
        <v>#DIV/0!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0</v>
      </c>
      <c r="AB1204" s="3">
        <v>0</v>
      </c>
      <c r="AC1204" s="3">
        <v>0</v>
      </c>
      <c r="AD1204" s="3">
        <v>0</v>
      </c>
      <c r="AE1204" s="3">
        <v>0</v>
      </c>
      <c r="AF1204" s="3">
        <v>0</v>
      </c>
      <c r="AG1204" s="3">
        <v>0</v>
      </c>
      <c r="AH1204" s="3">
        <v>0</v>
      </c>
      <c r="AI1204" s="3">
        <v>0</v>
      </c>
      <c r="AJ1204" s="3">
        <v>0</v>
      </c>
    </row>
    <row r="1205" spans="1:36" x14ac:dyDescent="0.2">
      <c r="A1205" s="3" t="s">
        <v>75</v>
      </c>
      <c r="B1205" s="3" t="s">
        <v>101</v>
      </c>
      <c r="C1205" s="3" t="s">
        <v>102</v>
      </c>
      <c r="D1205" s="3">
        <v>3</v>
      </c>
      <c r="E1205" s="3">
        <v>2023</v>
      </c>
      <c r="F1205" s="3">
        <v>1</v>
      </c>
      <c r="G1205" s="3" t="s">
        <v>39</v>
      </c>
      <c r="H1205" s="3" t="s">
        <v>46</v>
      </c>
      <c r="I1205" s="5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 t="e">
        <f t="shared" si="19"/>
        <v>#DIV/0!</v>
      </c>
      <c r="P1205" s="3">
        <v>0</v>
      </c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0</v>
      </c>
      <c r="AB1205" s="3">
        <v>0</v>
      </c>
      <c r="AC1205" s="3">
        <v>0</v>
      </c>
      <c r="AD1205" s="3">
        <v>0</v>
      </c>
      <c r="AE1205" s="3">
        <v>0</v>
      </c>
      <c r="AF1205" s="3">
        <v>0</v>
      </c>
      <c r="AG1205" s="3">
        <v>0</v>
      </c>
      <c r="AH1205" s="3">
        <v>0</v>
      </c>
      <c r="AI1205" s="3">
        <v>0</v>
      </c>
      <c r="AJ1205" s="3">
        <v>0</v>
      </c>
    </row>
    <row r="1206" spans="1:36" x14ac:dyDescent="0.2">
      <c r="A1206" s="3" t="s">
        <v>75</v>
      </c>
      <c r="B1206" s="3" t="s">
        <v>101</v>
      </c>
      <c r="C1206" s="3" t="s">
        <v>102</v>
      </c>
      <c r="D1206" s="3">
        <v>2</v>
      </c>
      <c r="E1206" s="3">
        <v>2023</v>
      </c>
      <c r="F1206" s="3">
        <v>1</v>
      </c>
      <c r="G1206" s="3" t="s">
        <v>42</v>
      </c>
      <c r="H1206" s="3" t="s">
        <v>46</v>
      </c>
      <c r="I1206" s="5">
        <v>140400</v>
      </c>
      <c r="J1206" s="3">
        <v>4837.5</v>
      </c>
      <c r="K1206" s="3">
        <v>135562.5</v>
      </c>
      <c r="L1206" s="3">
        <v>86240</v>
      </c>
      <c r="M1206" s="3">
        <v>49322.5</v>
      </c>
      <c r="N1206" s="3">
        <v>20268.175000000003</v>
      </c>
      <c r="O1206" s="3">
        <f t="shared" si="19"/>
        <v>14.951166436145691</v>
      </c>
      <c r="P1206" s="3">
        <v>0</v>
      </c>
      <c r="Q1206" s="3">
        <v>0</v>
      </c>
      <c r="R1206" s="3">
        <v>0</v>
      </c>
      <c r="S1206" s="3">
        <v>6778.125</v>
      </c>
      <c r="T1206" s="3">
        <v>7500</v>
      </c>
      <c r="U1206" s="3">
        <v>4932.25</v>
      </c>
      <c r="V1206" s="3">
        <v>1057.8</v>
      </c>
      <c r="W1206" s="3">
        <v>0</v>
      </c>
      <c r="X1206" s="3">
        <v>29054.324999999997</v>
      </c>
      <c r="Y1206" s="3">
        <v>0</v>
      </c>
      <c r="Z1206" s="3">
        <v>0</v>
      </c>
      <c r="AA1206" s="3">
        <v>0</v>
      </c>
      <c r="AB1206" s="3">
        <v>0</v>
      </c>
      <c r="AC1206" s="3">
        <v>0</v>
      </c>
      <c r="AD1206" s="3">
        <v>0</v>
      </c>
      <c r="AE1206" s="3">
        <v>29054.324999999997</v>
      </c>
      <c r="AF1206" s="3">
        <v>0</v>
      </c>
      <c r="AG1206" s="3">
        <v>29054.324999999997</v>
      </c>
      <c r="AH1206" s="3">
        <v>29054.324999999997</v>
      </c>
      <c r="AI1206" s="3">
        <v>0</v>
      </c>
      <c r="AJ1206" s="3">
        <v>0</v>
      </c>
    </row>
    <row r="1207" spans="1:36" x14ac:dyDescent="0.2">
      <c r="A1207" s="3" t="s">
        <v>75</v>
      </c>
      <c r="B1207" s="3" t="s">
        <v>101</v>
      </c>
      <c r="C1207" s="3" t="s">
        <v>102</v>
      </c>
      <c r="D1207" s="3">
        <v>1</v>
      </c>
      <c r="E1207" s="3">
        <v>2023</v>
      </c>
      <c r="F1207" s="3">
        <v>1</v>
      </c>
      <c r="G1207" s="3" t="s">
        <v>42</v>
      </c>
      <c r="H1207" s="3" t="s">
        <v>46</v>
      </c>
      <c r="I1207" s="5">
        <v>150624</v>
      </c>
      <c r="J1207" s="3">
        <v>9446.4</v>
      </c>
      <c r="K1207" s="3">
        <v>141177.60000000001</v>
      </c>
      <c r="L1207" s="3">
        <v>92294.400000000009</v>
      </c>
      <c r="M1207" s="3">
        <v>48883.199999999997</v>
      </c>
      <c r="N1207" s="3">
        <v>4888.32</v>
      </c>
      <c r="O1207" s="3">
        <f t="shared" si="19"/>
        <v>3.4625322997416017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4888.32</v>
      </c>
      <c r="V1207" s="3">
        <v>0</v>
      </c>
      <c r="W1207" s="3">
        <v>0</v>
      </c>
      <c r="X1207" s="3">
        <v>43994.880000000005</v>
      </c>
      <c r="Y1207" s="3">
        <v>0</v>
      </c>
      <c r="Z1207" s="3">
        <v>0</v>
      </c>
      <c r="AA1207" s="3">
        <v>0</v>
      </c>
      <c r="AB1207" s="3">
        <v>0</v>
      </c>
      <c r="AC1207" s="3">
        <v>0</v>
      </c>
      <c r="AD1207" s="3">
        <v>0</v>
      </c>
      <c r="AE1207" s="3">
        <v>43994.880000000005</v>
      </c>
      <c r="AF1207" s="3">
        <v>0</v>
      </c>
      <c r="AG1207" s="3">
        <v>43994.880000000005</v>
      </c>
      <c r="AH1207" s="3">
        <v>43994.880000000005</v>
      </c>
      <c r="AI1207" s="3">
        <v>0</v>
      </c>
      <c r="AJ1207" s="3">
        <v>0</v>
      </c>
    </row>
    <row r="1208" spans="1:36" x14ac:dyDescent="0.2">
      <c r="A1208" s="3" t="s">
        <v>75</v>
      </c>
      <c r="B1208" s="3" t="s">
        <v>101</v>
      </c>
      <c r="C1208" s="3" t="s">
        <v>102</v>
      </c>
      <c r="D1208" s="3">
        <v>3</v>
      </c>
      <c r="E1208" s="3">
        <v>2023</v>
      </c>
      <c r="F1208" s="3">
        <v>1</v>
      </c>
      <c r="G1208" s="3" t="s">
        <v>48</v>
      </c>
      <c r="H1208" s="3" t="s">
        <v>46</v>
      </c>
      <c r="I1208" s="5">
        <v>591885</v>
      </c>
      <c r="J1208" s="3">
        <v>10521</v>
      </c>
      <c r="K1208" s="3">
        <v>581364</v>
      </c>
      <c r="L1208" s="3">
        <v>327395.20800000004</v>
      </c>
      <c r="M1208" s="3">
        <v>253968.79199999999</v>
      </c>
      <c r="N1208" s="3">
        <v>1778826.6720000003</v>
      </c>
      <c r="O1208" s="3">
        <f t="shared" si="19"/>
        <v>305.97468573905513</v>
      </c>
      <c r="P1208" s="3">
        <v>597337.0830000001</v>
      </c>
      <c r="Q1208" s="3">
        <v>331853.84400000004</v>
      </c>
      <c r="R1208" s="3">
        <v>518315.93099999998</v>
      </c>
      <c r="S1208" s="3">
        <v>41332.893000000004</v>
      </c>
      <c r="T1208" s="3">
        <v>52017.756000000008</v>
      </c>
      <c r="U1208" s="3">
        <v>16277.1</v>
      </c>
      <c r="V1208" s="3">
        <v>221692.065</v>
      </c>
      <c r="W1208" s="3">
        <v>0</v>
      </c>
      <c r="X1208" s="3">
        <v>-1524857.88</v>
      </c>
      <c r="Y1208" s="3">
        <v>276.57</v>
      </c>
      <c r="Z1208" s="3">
        <v>111910.84831212529</v>
      </c>
      <c r="AA1208" s="3">
        <v>-111634.2783121253</v>
      </c>
      <c r="AB1208" s="3">
        <v>0</v>
      </c>
      <c r="AC1208" s="3">
        <v>0</v>
      </c>
      <c r="AD1208" s="3">
        <v>0</v>
      </c>
      <c r="AE1208" s="3">
        <v>-1636492.1583121251</v>
      </c>
      <c r="AF1208" s="3">
        <v>0</v>
      </c>
      <c r="AG1208" s="3">
        <v>-1636492.1583121251</v>
      </c>
      <c r="AH1208" s="3">
        <v>-1636492.1583121251</v>
      </c>
      <c r="AI1208" s="3">
        <v>2730000</v>
      </c>
      <c r="AJ1208" s="3">
        <v>0</v>
      </c>
    </row>
    <row r="1209" spans="1:36" x14ac:dyDescent="0.2">
      <c r="A1209" s="3" t="s">
        <v>75</v>
      </c>
      <c r="B1209" s="3" t="s">
        <v>101</v>
      </c>
      <c r="C1209" s="3" t="s">
        <v>102</v>
      </c>
      <c r="D1209" s="3">
        <v>1</v>
      </c>
      <c r="E1209" s="3">
        <v>2023</v>
      </c>
      <c r="F1209" s="3">
        <v>1</v>
      </c>
      <c r="G1209" s="3" t="s">
        <v>48</v>
      </c>
      <c r="H1209" s="3" t="s">
        <v>46</v>
      </c>
      <c r="I1209" s="5">
        <v>1456756</v>
      </c>
      <c r="J1209" s="3">
        <v>131376</v>
      </c>
      <c r="K1209" s="3">
        <v>1325379.9999999998</v>
      </c>
      <c r="L1209" s="3">
        <v>814090.95600000001</v>
      </c>
      <c r="M1209" s="3">
        <v>511289.04399999999</v>
      </c>
      <c r="N1209" s="3">
        <v>2636469.1079999995</v>
      </c>
      <c r="O1209" s="3">
        <f t="shared" si="19"/>
        <v>198.92175134678357</v>
      </c>
      <c r="P1209" s="3">
        <v>796449.5</v>
      </c>
      <c r="Q1209" s="3">
        <v>442471.79200000002</v>
      </c>
      <c r="R1209" s="3">
        <v>885240.3</v>
      </c>
      <c r="S1209" s="3">
        <v>67935.839999999997</v>
      </c>
      <c r="T1209" s="3">
        <v>176125.68400000001</v>
      </c>
      <c r="U1209" s="3">
        <v>43335.600000000006</v>
      </c>
      <c r="V1209" s="3">
        <v>224910.39199999999</v>
      </c>
      <c r="W1209" s="3">
        <v>0</v>
      </c>
      <c r="X1209" s="3">
        <v>-2125180.0639999998</v>
      </c>
      <c r="Y1209" s="3">
        <v>314.77600000000001</v>
      </c>
      <c r="Z1209" s="3">
        <v>149765.00334366667</v>
      </c>
      <c r="AA1209" s="3">
        <v>-149450.22734366666</v>
      </c>
      <c r="AB1209" s="3">
        <v>0</v>
      </c>
      <c r="AC1209" s="3">
        <v>0</v>
      </c>
      <c r="AD1209" s="3">
        <v>0</v>
      </c>
      <c r="AE1209" s="3">
        <v>-2274630.2913436666</v>
      </c>
      <c r="AF1209" s="3">
        <v>0</v>
      </c>
      <c r="AG1209" s="3">
        <v>-2274630.2913436666</v>
      </c>
      <c r="AH1209" s="3">
        <v>-2274630.2913436666</v>
      </c>
      <c r="AI1209" s="3">
        <v>0</v>
      </c>
      <c r="AJ1209" s="3">
        <v>0</v>
      </c>
    </row>
    <row r="1210" spans="1:36" x14ac:dyDescent="0.2">
      <c r="A1210" s="3" t="s">
        <v>75</v>
      </c>
      <c r="B1210" s="3" t="s">
        <v>101</v>
      </c>
      <c r="C1210" s="3" t="s">
        <v>102</v>
      </c>
      <c r="D1210" s="3">
        <v>2</v>
      </c>
      <c r="E1210" s="3">
        <v>2023</v>
      </c>
      <c r="F1210" s="3">
        <v>1</v>
      </c>
      <c r="G1210" s="3" t="s">
        <v>48</v>
      </c>
      <c r="H1210" s="3" t="s">
        <v>46</v>
      </c>
      <c r="I1210" s="5">
        <v>1787325</v>
      </c>
      <c r="J1210" s="3">
        <v>83025</v>
      </c>
      <c r="K1210" s="3">
        <v>1704300</v>
      </c>
      <c r="L1210" s="3">
        <v>1015879.9249999999</v>
      </c>
      <c r="M1210" s="3">
        <v>688420.07500000007</v>
      </c>
      <c r="N1210" s="3">
        <v>2109128.7250000001</v>
      </c>
      <c r="O1210" s="3">
        <f t="shared" si="19"/>
        <v>123.75337235228541</v>
      </c>
      <c r="P1210" s="3">
        <v>711115.625</v>
      </c>
      <c r="Q1210" s="3">
        <v>395064.10000000003</v>
      </c>
      <c r="R1210" s="3">
        <v>746550.02500000002</v>
      </c>
      <c r="S1210" s="3">
        <v>61926.324999999997</v>
      </c>
      <c r="T1210" s="3">
        <v>22949.974999999999</v>
      </c>
      <c r="U1210" s="3">
        <v>56432.5</v>
      </c>
      <c r="V1210" s="3">
        <v>115090.175</v>
      </c>
      <c r="W1210" s="3">
        <v>0</v>
      </c>
      <c r="X1210" s="3">
        <v>-1420708.65</v>
      </c>
      <c r="Y1210" s="3">
        <v>260</v>
      </c>
      <c r="Z1210" s="3">
        <v>131512.07691313367</v>
      </c>
      <c r="AA1210" s="3">
        <v>-131252.07691313367</v>
      </c>
      <c r="AB1210" s="3">
        <v>0</v>
      </c>
      <c r="AC1210" s="3">
        <v>0</v>
      </c>
      <c r="AD1210" s="3">
        <v>0</v>
      </c>
      <c r="AE1210" s="3">
        <v>-1551960.7269131336</v>
      </c>
      <c r="AF1210" s="3">
        <v>0</v>
      </c>
      <c r="AG1210" s="3">
        <v>-1551960.7269131336</v>
      </c>
      <c r="AH1210" s="3">
        <v>-1551960.7269131336</v>
      </c>
      <c r="AI1210" s="3">
        <v>5000000</v>
      </c>
      <c r="AJ1210" s="3">
        <v>0</v>
      </c>
    </row>
    <row r="1211" spans="1:36" x14ac:dyDescent="0.2">
      <c r="A1211" s="3" t="s">
        <v>75</v>
      </c>
      <c r="B1211" s="3" t="s">
        <v>131</v>
      </c>
      <c r="C1211" s="3" t="s">
        <v>132</v>
      </c>
      <c r="D1211" s="3">
        <v>1</v>
      </c>
      <c r="E1211" s="3">
        <v>2023</v>
      </c>
      <c r="F1211" s="3">
        <v>1</v>
      </c>
      <c r="G1211" s="3" t="s">
        <v>42</v>
      </c>
      <c r="H1211" s="3" t="s">
        <v>46</v>
      </c>
      <c r="I1211" s="5">
        <v>83520</v>
      </c>
      <c r="J1211" s="3">
        <v>0</v>
      </c>
      <c r="K1211" s="3">
        <v>83520</v>
      </c>
      <c r="L1211" s="3">
        <v>50112</v>
      </c>
      <c r="M1211" s="3">
        <v>33408</v>
      </c>
      <c r="N1211" s="3">
        <v>0</v>
      </c>
      <c r="O1211" s="3">
        <f t="shared" si="19"/>
        <v>0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33408</v>
      </c>
      <c r="Y1211" s="3">
        <v>0</v>
      </c>
      <c r="Z1211" s="3">
        <v>0</v>
      </c>
      <c r="AA1211" s="3">
        <v>0</v>
      </c>
      <c r="AB1211" s="3">
        <v>0</v>
      </c>
      <c r="AC1211" s="3">
        <v>0</v>
      </c>
      <c r="AD1211" s="3">
        <v>0</v>
      </c>
      <c r="AE1211" s="3">
        <v>33408</v>
      </c>
      <c r="AF1211" s="3">
        <v>0</v>
      </c>
      <c r="AG1211" s="3">
        <v>33408</v>
      </c>
      <c r="AH1211" s="3">
        <v>33408</v>
      </c>
      <c r="AI1211" s="3">
        <v>0</v>
      </c>
      <c r="AJ1211" s="3">
        <v>0</v>
      </c>
    </row>
    <row r="1212" spans="1:36" x14ac:dyDescent="0.2">
      <c r="A1212" s="3" t="s">
        <v>75</v>
      </c>
      <c r="B1212" s="3" t="s">
        <v>131</v>
      </c>
      <c r="C1212" s="3" t="s">
        <v>132</v>
      </c>
      <c r="D1212" s="3">
        <v>2</v>
      </c>
      <c r="E1212" s="3">
        <v>2023</v>
      </c>
      <c r="F1212" s="3">
        <v>1</v>
      </c>
      <c r="G1212" s="3" t="s">
        <v>42</v>
      </c>
      <c r="H1212" s="3" t="s">
        <v>46</v>
      </c>
      <c r="I1212" s="5">
        <v>128326.00000000003</v>
      </c>
      <c r="J1212" s="3">
        <v>0</v>
      </c>
      <c r="K1212" s="3">
        <v>128326.00000000003</v>
      </c>
      <c r="L1212" s="3">
        <v>76995.600000000006</v>
      </c>
      <c r="M1212" s="3">
        <v>51330.400000000001</v>
      </c>
      <c r="N1212" s="3">
        <v>0</v>
      </c>
      <c r="O1212" s="3">
        <f t="shared" si="19"/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51330.400000000001</v>
      </c>
      <c r="Y1212" s="3">
        <v>0</v>
      </c>
      <c r="Z1212" s="3">
        <v>0</v>
      </c>
      <c r="AA1212" s="3">
        <v>0</v>
      </c>
      <c r="AB1212" s="3">
        <v>0</v>
      </c>
      <c r="AC1212" s="3">
        <v>0</v>
      </c>
      <c r="AD1212" s="3">
        <v>0</v>
      </c>
      <c r="AE1212" s="3">
        <v>51330.400000000001</v>
      </c>
      <c r="AF1212" s="3">
        <v>0</v>
      </c>
      <c r="AG1212" s="3">
        <v>51330.400000000001</v>
      </c>
      <c r="AH1212" s="3">
        <v>51330.400000000001</v>
      </c>
      <c r="AI1212" s="3">
        <v>0</v>
      </c>
      <c r="AJ1212" s="3">
        <v>0</v>
      </c>
    </row>
    <row r="1213" spans="1:36" x14ac:dyDescent="0.2">
      <c r="A1213" s="3" t="s">
        <v>75</v>
      </c>
      <c r="B1213" s="3" t="s">
        <v>131</v>
      </c>
      <c r="C1213" s="3" t="s">
        <v>132</v>
      </c>
      <c r="D1213" s="3">
        <v>3</v>
      </c>
      <c r="E1213" s="3">
        <v>2023</v>
      </c>
      <c r="F1213" s="3">
        <v>1</v>
      </c>
      <c r="G1213" s="3" t="s">
        <v>42</v>
      </c>
      <c r="H1213" s="3" t="s">
        <v>46</v>
      </c>
      <c r="I1213" s="5">
        <v>279000</v>
      </c>
      <c r="J1213" s="3">
        <v>71625</v>
      </c>
      <c r="K1213" s="3">
        <v>207375</v>
      </c>
      <c r="L1213" s="3">
        <v>174900</v>
      </c>
      <c r="M1213" s="3">
        <v>32475</v>
      </c>
      <c r="N1213" s="3">
        <v>0</v>
      </c>
      <c r="O1213" s="3">
        <f t="shared" si="19"/>
        <v>0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32475</v>
      </c>
      <c r="Y1213" s="3">
        <v>0</v>
      </c>
      <c r="Z1213" s="3">
        <v>0</v>
      </c>
      <c r="AA1213" s="3">
        <v>0</v>
      </c>
      <c r="AB1213" s="3">
        <v>0</v>
      </c>
      <c r="AC1213" s="3">
        <v>0</v>
      </c>
      <c r="AD1213" s="3">
        <v>0</v>
      </c>
      <c r="AE1213" s="3">
        <v>32475</v>
      </c>
      <c r="AF1213" s="3">
        <v>0</v>
      </c>
      <c r="AG1213" s="3">
        <v>32475</v>
      </c>
      <c r="AH1213" s="3">
        <v>32475</v>
      </c>
      <c r="AI1213" s="3">
        <v>0</v>
      </c>
      <c r="AJ1213" s="3">
        <v>0</v>
      </c>
    </row>
    <row r="1214" spans="1:36" x14ac:dyDescent="0.2">
      <c r="A1214" s="3" t="s">
        <v>75</v>
      </c>
      <c r="B1214" s="3" t="s">
        <v>131</v>
      </c>
      <c r="C1214" s="3" t="s">
        <v>132</v>
      </c>
      <c r="D1214" s="3">
        <v>1</v>
      </c>
      <c r="E1214" s="3">
        <v>2023</v>
      </c>
      <c r="F1214" s="3">
        <v>1</v>
      </c>
      <c r="G1214" s="3" t="s">
        <v>48</v>
      </c>
      <c r="H1214" s="3" t="s">
        <v>46</v>
      </c>
      <c r="I1214" s="5">
        <v>7518192.0000000009</v>
      </c>
      <c r="J1214" s="3">
        <v>46112</v>
      </c>
      <c r="K1214" s="3">
        <v>7472080.0000000009</v>
      </c>
      <c r="L1214" s="3">
        <v>4581463.4360000007</v>
      </c>
      <c r="M1214" s="3">
        <v>2890616.5640000002</v>
      </c>
      <c r="N1214" s="3">
        <v>3619238.4140000003</v>
      </c>
      <c r="O1214" s="3">
        <f t="shared" si="19"/>
        <v>48.436826345542336</v>
      </c>
      <c r="P1214" s="3">
        <v>455729.16400000011</v>
      </c>
      <c r="Q1214" s="3">
        <v>329909.42600000004</v>
      </c>
      <c r="R1214" s="3">
        <v>1349610.9660000002</v>
      </c>
      <c r="S1214" s="3">
        <v>74183.494000000006</v>
      </c>
      <c r="T1214" s="3">
        <v>356972.99</v>
      </c>
      <c r="U1214" s="3">
        <v>239844.00000000006</v>
      </c>
      <c r="V1214" s="3">
        <v>812988.37400000007</v>
      </c>
      <c r="W1214" s="3">
        <v>100620.542</v>
      </c>
      <c r="X1214" s="3">
        <v>-829242.39199999999</v>
      </c>
      <c r="Y1214" s="3">
        <v>3576.3640000000005</v>
      </c>
      <c r="Z1214" s="3">
        <v>335205.13400000002</v>
      </c>
      <c r="AA1214" s="3">
        <v>-331628.77</v>
      </c>
      <c r="AB1214" s="3">
        <v>17160.000000000004</v>
      </c>
      <c r="AC1214" s="3">
        <v>17160.000000000004</v>
      </c>
      <c r="AD1214" s="3">
        <v>0</v>
      </c>
      <c r="AE1214" s="3">
        <v>-1160871.162</v>
      </c>
      <c r="AF1214" s="3">
        <v>0</v>
      </c>
      <c r="AG1214" s="3">
        <v>-1160871.162</v>
      </c>
      <c r="AH1214" s="3">
        <v>-1160871.162</v>
      </c>
      <c r="AI1214" s="3">
        <v>17600000.000000004</v>
      </c>
      <c r="AJ1214" s="3">
        <v>0</v>
      </c>
    </row>
    <row r="1215" spans="1:36" x14ac:dyDescent="0.2">
      <c r="A1215" s="3" t="s">
        <v>75</v>
      </c>
      <c r="B1215" s="3" t="s">
        <v>131</v>
      </c>
      <c r="C1215" s="3" t="s">
        <v>132</v>
      </c>
      <c r="D1215" s="3">
        <v>3</v>
      </c>
      <c r="E1215" s="3">
        <v>2023</v>
      </c>
      <c r="F1215" s="3">
        <v>1</v>
      </c>
      <c r="G1215" s="3" t="s">
        <v>48</v>
      </c>
      <c r="H1215" s="3" t="s">
        <v>46</v>
      </c>
      <c r="I1215" s="5">
        <v>8190464</v>
      </c>
      <c r="J1215" s="3">
        <v>455888</v>
      </c>
      <c r="K1215" s="3">
        <v>7734576</v>
      </c>
      <c r="L1215" s="3">
        <v>4940296.5120000001</v>
      </c>
      <c r="M1215" s="3">
        <v>2794279.4879999999</v>
      </c>
      <c r="N1215" s="3">
        <v>3827176.5280000004</v>
      </c>
      <c r="O1215" s="3">
        <f t="shared" si="19"/>
        <v>49.481400505987665</v>
      </c>
      <c r="P1215" s="3">
        <v>602663.07200000004</v>
      </c>
      <c r="Q1215" s="3">
        <v>479912.89600000007</v>
      </c>
      <c r="R1215" s="3">
        <v>981535.24800000014</v>
      </c>
      <c r="S1215" s="3">
        <v>24399.536000000004</v>
      </c>
      <c r="T1215" s="3">
        <v>954644.73600000015</v>
      </c>
      <c r="U1215" s="3">
        <v>223358.4</v>
      </c>
      <c r="V1215" s="3">
        <v>560662.64</v>
      </c>
      <c r="W1215" s="3">
        <v>70022.896000000008</v>
      </c>
      <c r="X1215" s="3">
        <v>-1102919.9360000002</v>
      </c>
      <c r="Y1215" s="3">
        <v>5430.6239999999998</v>
      </c>
      <c r="Z1215" s="3">
        <v>532826.11199999996</v>
      </c>
      <c r="AA1215" s="3">
        <v>-527395.48800000001</v>
      </c>
      <c r="AB1215" s="3">
        <v>12480</v>
      </c>
      <c r="AC1215" s="3">
        <v>12480</v>
      </c>
      <c r="AD1215" s="3">
        <v>0</v>
      </c>
      <c r="AE1215" s="3">
        <v>-1630315.4240000001</v>
      </c>
      <c r="AF1215" s="3">
        <v>0</v>
      </c>
      <c r="AG1215" s="3">
        <v>-1630315.4240000001</v>
      </c>
      <c r="AH1215" s="3">
        <v>-1630315.4240000001</v>
      </c>
      <c r="AI1215" s="3">
        <v>12480000</v>
      </c>
      <c r="AJ1215" s="3">
        <v>0</v>
      </c>
    </row>
    <row r="1216" spans="1:36" x14ac:dyDescent="0.2">
      <c r="A1216" s="3" t="s">
        <v>75</v>
      </c>
      <c r="B1216" s="3" t="s">
        <v>131</v>
      </c>
      <c r="C1216" s="3" t="s">
        <v>132</v>
      </c>
      <c r="D1216" s="3">
        <v>2</v>
      </c>
      <c r="E1216" s="3">
        <v>2023</v>
      </c>
      <c r="F1216" s="3">
        <v>1</v>
      </c>
      <c r="G1216" s="3" t="s">
        <v>48</v>
      </c>
      <c r="H1216" s="3" t="s">
        <v>46</v>
      </c>
      <c r="I1216" s="5">
        <v>10394618.572000001</v>
      </c>
      <c r="J1216" s="3">
        <v>512135.57200000004</v>
      </c>
      <c r="K1216" s="3">
        <v>9882483</v>
      </c>
      <c r="L1216" s="3">
        <v>6334089.3589999992</v>
      </c>
      <c r="M1216" s="3">
        <v>3548393.6409999998</v>
      </c>
      <c r="N1216" s="3">
        <v>2898473.3440000005</v>
      </c>
      <c r="O1216" s="3">
        <f t="shared" ref="O1216:O1219" si="20">N1216/K1216*100</f>
        <v>29.329403794572684</v>
      </c>
      <c r="P1216" s="3">
        <v>489663.78499999997</v>
      </c>
      <c r="Q1216" s="3">
        <v>194946.41399999999</v>
      </c>
      <c r="R1216" s="3">
        <v>797497.38900000008</v>
      </c>
      <c r="S1216" s="3">
        <v>71186.127999999997</v>
      </c>
      <c r="T1216" s="3">
        <v>452087.06399999995</v>
      </c>
      <c r="U1216" s="3">
        <v>286033.8</v>
      </c>
      <c r="V1216" s="3">
        <v>607058.76399999997</v>
      </c>
      <c r="W1216" s="3">
        <v>0</v>
      </c>
      <c r="X1216" s="3">
        <v>649920.29700000002</v>
      </c>
      <c r="Y1216" s="3">
        <v>1880.8789999999999</v>
      </c>
      <c r="Z1216" s="3">
        <v>430992.08100000001</v>
      </c>
      <c r="AA1216" s="3">
        <v>-429111.20200000005</v>
      </c>
      <c r="AB1216" s="3">
        <v>25870</v>
      </c>
      <c r="AC1216" s="3">
        <v>25870</v>
      </c>
      <c r="AD1216" s="3">
        <v>0</v>
      </c>
      <c r="AE1216" s="3">
        <v>220809.09500000003</v>
      </c>
      <c r="AF1216" s="3">
        <v>0</v>
      </c>
      <c r="AG1216" s="3">
        <v>220809.09500000003</v>
      </c>
      <c r="AH1216" s="3">
        <v>220809.09500000003</v>
      </c>
      <c r="AI1216" s="3">
        <v>10400000</v>
      </c>
      <c r="AJ1216" s="3">
        <v>0</v>
      </c>
    </row>
    <row r="1217" spans="1:36" x14ac:dyDescent="0.2">
      <c r="A1217" s="3" t="s">
        <v>75</v>
      </c>
      <c r="B1217" s="3" t="s">
        <v>131</v>
      </c>
      <c r="C1217" s="3" t="s">
        <v>132</v>
      </c>
      <c r="D1217" s="3">
        <v>3</v>
      </c>
      <c r="E1217" s="3">
        <v>2023</v>
      </c>
      <c r="F1217" s="3">
        <v>1</v>
      </c>
      <c r="G1217" s="3" t="s">
        <v>39</v>
      </c>
      <c r="H1217" s="3" t="s">
        <v>46</v>
      </c>
      <c r="I1217" s="5">
        <v>62039168</v>
      </c>
      <c r="J1217" s="3">
        <v>0</v>
      </c>
      <c r="K1217" s="3">
        <v>62039168</v>
      </c>
      <c r="L1217" s="3">
        <v>61984120</v>
      </c>
      <c r="M1217" s="3">
        <v>55048</v>
      </c>
      <c r="N1217" s="3">
        <v>134896.016</v>
      </c>
      <c r="O1217" s="3">
        <f t="shared" si="20"/>
        <v>0.21743685537497859</v>
      </c>
      <c r="P1217" s="3">
        <v>18240</v>
      </c>
      <c r="Q1217" s="3">
        <v>14524.880000000001</v>
      </c>
      <c r="R1217" s="3">
        <v>29653.632000000001</v>
      </c>
      <c r="S1217" s="3">
        <v>738.46400000000006</v>
      </c>
      <c r="T1217" s="3">
        <v>49980.495999999999</v>
      </c>
      <c r="U1217" s="3">
        <v>6640.7520000000013</v>
      </c>
      <c r="V1217" s="3">
        <v>15117.792000000001</v>
      </c>
      <c r="W1217" s="3">
        <v>0</v>
      </c>
      <c r="X1217" s="3">
        <v>-79848.016000000003</v>
      </c>
      <c r="Y1217" s="3">
        <v>0</v>
      </c>
      <c r="Z1217" s="3">
        <v>0</v>
      </c>
      <c r="AA1217" s="3">
        <v>0</v>
      </c>
      <c r="AB1217" s="3">
        <v>4795.2480000000005</v>
      </c>
      <c r="AC1217" s="3">
        <v>812.8</v>
      </c>
      <c r="AD1217" s="3">
        <v>3982.4480000000003</v>
      </c>
      <c r="AE1217" s="3">
        <v>-75865.567999999999</v>
      </c>
      <c r="AF1217" s="3">
        <v>0</v>
      </c>
      <c r="AG1217" s="3">
        <v>-75865.567999999999</v>
      </c>
      <c r="AH1217" s="3">
        <v>-75865.567999999999</v>
      </c>
      <c r="AI1217" s="3">
        <v>62039168</v>
      </c>
      <c r="AJ1217" s="3">
        <v>0</v>
      </c>
    </row>
    <row r="1218" spans="1:36" x14ac:dyDescent="0.2">
      <c r="A1218" s="3" t="s">
        <v>75</v>
      </c>
      <c r="B1218" s="3" t="s">
        <v>131</v>
      </c>
      <c r="C1218" s="3" t="s">
        <v>132</v>
      </c>
      <c r="D1218" s="3">
        <v>1</v>
      </c>
      <c r="E1218" s="3">
        <v>2023</v>
      </c>
      <c r="F1218" s="3">
        <v>1</v>
      </c>
      <c r="G1218" s="3" t="s">
        <v>39</v>
      </c>
      <c r="H1218" s="3" t="s">
        <v>46</v>
      </c>
      <c r="I1218" s="5">
        <v>66536123.500000007</v>
      </c>
      <c r="J1218" s="3">
        <v>0</v>
      </c>
      <c r="K1218" s="3">
        <v>66536123.500000007</v>
      </c>
      <c r="L1218" s="3">
        <v>66483631.500000015</v>
      </c>
      <c r="M1218" s="3">
        <v>52492</v>
      </c>
      <c r="N1218" s="3">
        <v>60281.221000000005</v>
      </c>
      <c r="O1218" s="3">
        <f t="shared" si="20"/>
        <v>9.0599238171727867E-2</v>
      </c>
      <c r="P1218" s="3">
        <v>6906.581000000001</v>
      </c>
      <c r="Q1218" s="3">
        <v>5001.4030000000002</v>
      </c>
      <c r="R1218" s="3">
        <v>20386.871999999999</v>
      </c>
      <c r="S1218" s="3">
        <v>507.69400000000007</v>
      </c>
      <c r="T1218" s="3">
        <v>6456.0649999999996</v>
      </c>
      <c r="U1218" s="3">
        <v>5249.2</v>
      </c>
      <c r="V1218" s="3">
        <v>15773.405999999999</v>
      </c>
      <c r="W1218" s="3">
        <v>0</v>
      </c>
      <c r="X1218" s="3">
        <v>-7789.2210000000014</v>
      </c>
      <c r="Y1218" s="3">
        <v>0</v>
      </c>
      <c r="Z1218" s="3">
        <v>0</v>
      </c>
      <c r="AA1218" s="3">
        <v>0</v>
      </c>
      <c r="AB1218" s="3">
        <v>2915.0990000000002</v>
      </c>
      <c r="AC1218" s="3">
        <v>279.40000000000003</v>
      </c>
      <c r="AD1218" s="3">
        <v>2635.6990000000001</v>
      </c>
      <c r="AE1218" s="3">
        <v>-5153.5220000000008</v>
      </c>
      <c r="AF1218" s="3">
        <v>0</v>
      </c>
      <c r="AG1218" s="3">
        <v>-5153.5220000000008</v>
      </c>
      <c r="AH1218" s="3">
        <v>-5153.5220000000008</v>
      </c>
      <c r="AI1218" s="3">
        <v>180155123.5</v>
      </c>
      <c r="AJ1218" s="3">
        <v>0</v>
      </c>
    </row>
    <row r="1219" spans="1:36" x14ac:dyDescent="0.2">
      <c r="A1219" s="3" t="s">
        <v>75</v>
      </c>
      <c r="B1219" s="3" t="s">
        <v>131</v>
      </c>
      <c r="C1219" s="3" t="s">
        <v>132</v>
      </c>
      <c r="D1219" s="3">
        <v>2</v>
      </c>
      <c r="E1219" s="3">
        <v>2023</v>
      </c>
      <c r="F1219" s="3">
        <v>1</v>
      </c>
      <c r="G1219" s="3" t="s">
        <v>39</v>
      </c>
      <c r="H1219" s="3" t="s">
        <v>46</v>
      </c>
      <c r="I1219" s="5">
        <v>177525967.5</v>
      </c>
      <c r="J1219" s="3">
        <v>0</v>
      </c>
      <c r="K1219" s="3">
        <v>177525967.5</v>
      </c>
      <c r="L1219" s="3">
        <v>177181225</v>
      </c>
      <c r="M1219" s="3">
        <v>344742.5</v>
      </c>
      <c r="N1219" s="3">
        <v>272533.17499999999</v>
      </c>
      <c r="O1219" s="3">
        <f t="shared" si="20"/>
        <v>0.1535173579606037</v>
      </c>
      <c r="P1219" s="3">
        <v>28500</v>
      </c>
      <c r="Q1219" s="3">
        <v>11366.824999999999</v>
      </c>
      <c r="R1219" s="3">
        <v>46333.8</v>
      </c>
      <c r="S1219" s="3">
        <v>1153.8500000000001</v>
      </c>
      <c r="T1219" s="3">
        <v>115757.175</v>
      </c>
      <c r="U1219" s="3">
        <v>32642.7</v>
      </c>
      <c r="V1219" s="3">
        <v>36778.825000000004</v>
      </c>
      <c r="W1219" s="3">
        <v>0</v>
      </c>
      <c r="X1219" s="3">
        <v>72209.324999999997</v>
      </c>
      <c r="Y1219" s="3">
        <v>0</v>
      </c>
      <c r="Z1219" s="3">
        <v>0</v>
      </c>
      <c r="AA1219" s="3">
        <v>0</v>
      </c>
      <c r="AB1219" s="3">
        <v>3474.5499999999997</v>
      </c>
      <c r="AC1219" s="3">
        <v>0</v>
      </c>
      <c r="AD1219" s="3">
        <v>3474.5499999999997</v>
      </c>
      <c r="AE1219" s="3">
        <v>75683.875</v>
      </c>
      <c r="AF1219" s="3">
        <v>0</v>
      </c>
      <c r="AG1219" s="3">
        <v>75683.875</v>
      </c>
      <c r="AH1219" s="3">
        <v>75683.875</v>
      </c>
      <c r="AI1219" s="3">
        <v>177525967.5</v>
      </c>
      <c r="AJ1219" s="3">
        <v>-41666.666666666672</v>
      </c>
    </row>
  </sheetData>
  <autoFilter ref="A1:AJ1219" xr:uid="{00000000-0009-0000-0000-000000000000}">
    <sortState xmlns:xlrd2="http://schemas.microsoft.com/office/spreadsheetml/2017/richdata2" ref="A2:AJ1219">
      <sortCondition ref="E1:E1219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 Quang Tu (DOJI-FINANCE HN)</dc:creator>
  <cp:keywords/>
  <dc:description/>
  <cp:lastModifiedBy>Long Tran</cp:lastModifiedBy>
  <cp:revision/>
  <dcterms:created xsi:type="dcterms:W3CDTF">2021-03-22T04:19:05Z</dcterms:created>
  <dcterms:modified xsi:type="dcterms:W3CDTF">2025-07-19T13:36:28Z</dcterms:modified>
  <cp:category/>
  <cp:contentStatus/>
</cp:coreProperties>
</file>